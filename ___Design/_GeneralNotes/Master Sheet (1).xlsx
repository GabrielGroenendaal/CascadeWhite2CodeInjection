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List of All Backgrounds" sheetId="2" r:id="rId6"/>
    <sheet state="visible" name="a151 file 0" sheetId="3" r:id="rId7"/>
    <sheet state="visible" name="a151 file 1" sheetId="4" r:id="rId8"/>
    <sheet state="visible" name="a151 file 2" sheetId="5" r:id="rId9"/>
    <sheet state="visible" name="Zone ID to Background ID "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1">
      <text>
        <t xml:space="preserve">VARIES DEPENDING ON GAME VERSION</t>
      </text>
    </comment>
    <comment authorId="0" ref="C94">
      <text>
        <t xml:space="preserve">VARIES DEPENDING ON GAME VERSION</t>
      </text>
    </comment>
    <comment authorId="0" ref="C190">
      <text>
        <t xml:space="preserve">VARIES DEPENDING ON GAME VERSION</t>
      </text>
    </comment>
    <comment authorId="0" ref="C222">
      <text>
        <t xml:space="preserve">VARIES DEPENDING ON GAME VERSION</t>
      </text>
    </comment>
    <comment authorId="0" ref="C189">
      <text>
        <t xml:space="preserve">VARIES DEPENDING ON GAME VERSION</t>
      </text>
    </comment>
    <comment authorId="0" ref="C221">
      <text>
        <t xml:space="preserve">VARIES DEPENDING ON GAME VERSION</t>
      </text>
    </comment>
    <comment authorId="0" ref="C156">
      <text>
        <t xml:space="preserve">VARIES DEPENDING ON GAME VERSION</t>
      </text>
    </comment>
    <comment authorId="0" ref="C107">
      <text>
        <t xml:space="preserve">VARIES DEPENDING ON GAME VERSION</t>
      </text>
    </comment>
    <comment authorId="0" ref="C155">
      <text>
        <t xml:space="preserve">VARIES DEPENDING ON GAME VERSION</t>
      </text>
    </comment>
    <comment authorId="0" ref="C154">
      <text>
        <t xml:space="preserve">VARIES DEPENDING ON GAME VERSION</t>
      </text>
    </comment>
    <comment authorId="0" ref="C182">
      <text>
        <t xml:space="preserve">VARIES DEPENDING ON GAME VERSION</t>
      </text>
    </comment>
  </commentList>
</comments>
</file>

<file path=xl/sharedStrings.xml><?xml version="1.0" encoding="utf-8"?>
<sst xmlns="http://schemas.openxmlformats.org/spreadsheetml/2006/main" count="2040" uniqueCount="701">
  <si>
    <t>Background ID</t>
  </si>
  <si>
    <t>Map ID</t>
  </si>
  <si>
    <t>Overworld Area</t>
  </si>
  <si>
    <t>Needs a Background?</t>
  </si>
  <si>
    <t>Background Status</t>
  </si>
  <si>
    <t>Hardware Status</t>
  </si>
  <si>
    <t>Background Author(s)</t>
  </si>
  <si>
    <t>Notes on Peaches</t>
  </si>
  <si>
    <t>22</t>
  </si>
  <si>
    <t>Route 19 Generic</t>
  </si>
  <si>
    <t>In Progress</t>
  </si>
  <si>
    <t>Has Issues</t>
  </si>
  <si>
    <t>Peaches</t>
  </si>
  <si>
    <t>Back of route has strange green wall. Grass needs updated. Tree shadows clip floor. Texture season mismatch between path and regular grass. Fusion Flare etc extends over skybox.</t>
  </si>
  <si>
    <t>23</t>
  </si>
  <si>
    <t>Route 20 Upper Generic</t>
  </si>
  <si>
    <t>Heavy overdraw in multibattles, minor in singles. Leaves float over the ground slightly. Grass needs updated. Tree shadows clip floor. Path clips between polys. Fusion Flare etc extends over skybox.</t>
  </si>
  <si>
    <t>24</t>
  </si>
  <si>
    <t xml:space="preserve">Route 20 Lower Generic
</t>
  </si>
  <si>
    <t>Grass needs updated to new style. Fences missing shadows. Distant trees need updating. Heavy overdraw in multibattles, minor in singles. The side walls should probably be broken up somewhat. Fusion Flare makes the screen grey.</t>
  </si>
  <si>
    <t>25</t>
  </si>
  <si>
    <t>Flocessy Ranch Front</t>
  </si>
  <si>
    <t>Major overdraw across screen midsection. Slight cracks in the ground path. Fusion Flare extends over the skybox.</t>
  </si>
  <si>
    <t>26</t>
  </si>
  <si>
    <t>Flocessy Ranch Back</t>
  </si>
  <si>
    <t>Major overdraw across screen midsection. Grass needs updated to new style. Ground floors look a little flat. Fusion Flare extends over the skybox.</t>
  </si>
  <si>
    <t>27</t>
  </si>
  <si>
    <t>Pokemon Center Generic</t>
  </si>
  <si>
    <t>Missing vertex lighting. Nurse Joy looks a little funny, plant looks very 2D due to angle to camera.</t>
  </si>
  <si>
    <t>28</t>
  </si>
  <si>
    <t>Alder's House</t>
  </si>
  <si>
    <t>Missing vertex lightning. Floating cushions + cushons. Floor is lowered.</t>
  </si>
  <si>
    <t>29</t>
  </si>
  <si>
    <t>Pledge Grove</t>
  </si>
  <si>
    <t>Major overdraw in midsection. Ground flowers floating slighty, no pattern animations. Big tree when using Fusion Flare.</t>
  </si>
  <si>
    <t>30</t>
  </si>
  <si>
    <t>Aspertia Gym Minor 1</t>
  </si>
  <si>
    <t>Major overdraw in midsection. Playground items floating slightly.</t>
  </si>
  <si>
    <t>31</t>
  </si>
  <si>
    <t>Aspertia Gym Minor 2</t>
  </si>
  <si>
    <t>Major overdraw at the top of the screen. Floating gym items and leader platform. Overlook is in the wrong geograhical position. City background seems out of place.</t>
  </si>
  <si>
    <t>32</t>
  </si>
  <si>
    <t>Aspertia Gym Major</t>
  </si>
  <si>
    <t>Catastrophic overdraw. Overlook platform looks out of place. Fusion Flare peeks over the skybox.</t>
  </si>
  <si>
    <t>33</t>
  </si>
  <si>
    <t>Virbank Gate</t>
  </si>
  <si>
    <t>Gate floor clips the road. Gate attendant looks a bit out of place. House behind Pokemon Center window clips through the wall. Sea overlook is a bit bland. Trees inside the gate look a little strange.</t>
  </si>
  <si>
    <t>34</t>
  </si>
  <si>
    <t>Virbank City Surf</t>
  </si>
  <si>
    <t>Ignorable Issues</t>
  </si>
  <si>
    <t>Minor clipping on walls. Pipe shadow hovers over the water. Strong grey lines under the water. Strange grey view above the sidewalk.</t>
  </si>
  <si>
    <t>35</t>
  </si>
  <si>
    <t>Virbank Pier (Day)</t>
  </si>
  <si>
    <t>Fencing floating above the ground. Gap in water on the far right when camera pans. City light at night a little too bright.</t>
  </si>
  <si>
    <t>36</t>
  </si>
  <si>
    <t>Virbank Pier (Evening)</t>
  </si>
  <si>
    <t>Fencing floating above the ground. Gap in water on the far right when camera pans.</t>
  </si>
  <si>
    <t>37</t>
  </si>
  <si>
    <t>Virbank Pier (Night)</t>
  </si>
  <si>
    <t>38</t>
  </si>
  <si>
    <t>Aspertia Outlook</t>
  </si>
  <si>
    <t>Entire scene shifted to the left. Major overdraw issues in the lower part. Fencing is floating and is not present at all on the left. Fusion Flare exposes the skybox edge.</t>
  </si>
  <si>
    <t>39</t>
  </si>
  <si>
    <t>Virbank Complex (LOS)</t>
  </si>
  <si>
    <t>Grass needs updated to new style. Line of sight doesn't terminate nicely. Buildings have shadows clip into the floor. Minor overdraw in midsection of map. Overhead pipes look kinda bad. Fusion Flare exposes skybox edge.</t>
  </si>
  <si>
    <t>40</t>
  </si>
  <si>
    <t>Virbank Complex (End)</t>
  </si>
  <si>
    <t>Grass needs updating to new style. Sea/skybox look very empty. Minor overdraw against move backgrounds.</t>
  </si>
  <si>
    <t>41</t>
  </si>
  <si>
    <t>Virbank Gym (Floor)</t>
  </si>
  <si>
    <t>Stage gear and stools are all floating slightly. Front speaks don't have a full shadow beneath them.</t>
  </si>
  <si>
    <t>42</t>
  </si>
  <si>
    <t>Virbank Gym (Roxie)</t>
  </si>
  <si>
    <t>Speakers have a purple line down the middle.</t>
  </si>
  <si>
    <t>43</t>
  </si>
  <si>
    <t>Battle Company (1st floor)</t>
  </si>
  <si>
    <t>Elevator door is floating slightly. Servers in top left and desk are also floating. Plant and pot have incorrect vertex colours.</t>
  </si>
  <si>
    <t>44</t>
  </si>
  <si>
    <t xml:space="preserve">Battle Company (2nd floor)
</t>
  </si>
  <si>
    <t>Many floating furnatures and shadows. Elevator door floating again. Vertex colour issues on plant pot.</t>
  </si>
  <si>
    <t>45</t>
  </si>
  <si>
    <t>Castelia Sewers (Generic)</t>
  </si>
  <si>
    <t>Minor overdraw when sending mon out.</t>
  </si>
  <si>
    <t>46</t>
  </si>
  <si>
    <t>Relic Passage (Castelia Side)</t>
  </si>
  <si>
    <t>Back wall has slight gaps. No vertex colours. Could do with some details when the camera pulls back.</t>
  </si>
  <si>
    <t>47</t>
  </si>
  <si>
    <t>Castelia Gardens</t>
  </si>
  <si>
    <t>Grass needs to be updated to new style.</t>
  </si>
  <si>
    <t>48</t>
  </si>
  <si>
    <t>Route 4 (W2, Entrance)</t>
  </si>
  <si>
    <t>Fusion Flare exposes skybox edge. Slight clipping on Fusion Flare impact.</t>
  </si>
  <si>
    <t>49</t>
  </si>
  <si>
    <t>Join Avenue (Entrance)</t>
  </si>
  <si>
    <t>City background's monolithic grey appears as block colour, inappropriate for Nimbasa too.</t>
  </si>
  <si>
    <t>50</t>
  </si>
  <si>
    <t>Route 4 (W2, Ruins)</t>
  </si>
  <si>
    <t>Shadows clip into the floor. Fusion Flare exposes the skybox edge.</t>
  </si>
  <si>
    <t>51</t>
  </si>
  <si>
    <t>Liberty Island (Day)</t>
  </si>
  <si>
    <t>Tree shadows clip into the ground.</t>
  </si>
  <si>
    <t>52</t>
  </si>
  <si>
    <t>Liberty Island (Evening)</t>
  </si>
  <si>
    <t>53</t>
  </si>
  <si>
    <t>Liberty Island (Night)</t>
  </si>
  <si>
    <t>54</t>
  </si>
  <si>
    <t>Castelia Fountain</t>
  </si>
  <si>
    <t>Tree textures do not have any transparency in the leaves.</t>
  </si>
  <si>
    <t>55</t>
  </si>
  <si>
    <t>Castelia Gym (Generic)</t>
  </si>
  <si>
    <t>Pod faces the camera instead of side on. When sending out mon, looks a little strange with the strings nearest the camera. Fusion Flare shows the ceiling to be a little weird.</t>
  </si>
  <si>
    <t>56</t>
  </si>
  <si>
    <t>Castelia Gym (Burgh)</t>
  </si>
  <si>
    <t>Camera pulls through the wall to start battle, then pulls back through the paint/hole when sending out mon. Paint brushes and cans appear to be floating. Holes are seen through the floor. Fusion Flare causes palette issues on the users mon.</t>
  </si>
  <si>
    <t>57</t>
  </si>
  <si>
    <t>Desert Resort (Route 4 Entrance)</t>
  </si>
  <si>
    <t>Route gate clips harshly into the side wall. Skybox is very bland and contrasts quite harshly.</t>
  </si>
  <si>
    <t>58</t>
  </si>
  <si>
    <t>Desert Resort (Relic Castle Entrance)</t>
  </si>
  <si>
    <t>City background looks quite harsh. Very empty.</t>
  </si>
  <si>
    <t>59</t>
  </si>
  <si>
    <t>Relic Castle (Downstairs)</t>
  </si>
  <si>
    <t>Camera pulls back into the void when sending mon out. Fusion Flare shows skybox limit very clearly.</t>
  </si>
  <si>
    <t>60</t>
  </si>
  <si>
    <t>Join Avenue (Interior)</t>
  </si>
  <si>
    <t>Fusion Flare causes a palette issue. Also populated when the entrance wasn't, but that's probably minor.</t>
  </si>
  <si>
    <t>61</t>
  </si>
  <si>
    <t>Nimbasa City</t>
  </si>
  <si>
    <t>Is Perfect</t>
  </si>
  <si>
    <t>62</t>
  </si>
  <si>
    <t>Route 5 (Bridge)</t>
  </si>
  <si>
    <t>Minor overdraw when sending out mons on either side, or when landing Fusion Flare.</t>
  </si>
  <si>
    <t>63</t>
  </si>
  <si>
    <t>Route 5 (Forest)</t>
  </si>
  <si>
    <t>Major overdraw across the screen. Custom mountain asset. Fusion Flare shows skybox boarder.</t>
  </si>
  <si>
    <t>64</t>
  </si>
  <si>
    <t>Route 16 (Road)</t>
  </si>
  <si>
    <t>Needs new grass.</t>
  </si>
  <si>
    <t>65</t>
  </si>
  <si>
    <t>Route 16 (Forest)</t>
  </si>
  <si>
    <t>Major overdraw across most the screen.</t>
  </si>
  <si>
    <t>66</t>
  </si>
  <si>
    <t>Lostlorn Forest (Entrance)</t>
  </si>
  <si>
    <t>Major overdraw across the upper portion of the screen. Needs new grass.</t>
  </si>
  <si>
    <t>67</t>
  </si>
  <si>
    <t>Lostlorn Forest (Back Area)</t>
  </si>
  <si>
    <t>Minor overdraw along back treeline. Fusion Flare exposes skybox edges.</t>
  </si>
  <si>
    <t>68</t>
  </si>
  <si>
    <t>Nimbasa Gym (BW1)</t>
  </si>
  <si>
    <t>69</t>
  </si>
  <si>
    <t>Nimbasa Gym (Catwalk)</t>
  </si>
  <si>
    <t>70</t>
  </si>
  <si>
    <t xml:space="preserve">Nimbasa Gym (Elesa)
</t>
  </si>
  <si>
    <t>Slight clipping on stage floor. Clipping on screen shadows. Camera pans back into the crowd.</t>
  </si>
  <si>
    <t>71</t>
  </si>
  <si>
    <t>Anville Town</t>
  </si>
  <si>
    <t>Light overdraw as battle begins. Stairs  have incorrect texture mirroring.</t>
  </si>
  <si>
    <t>72</t>
  </si>
  <si>
    <t>Driftveil Drawbridge</t>
  </si>
  <si>
    <t>Overdraw across middle screen when using Fusion Flare - otherwise looks good!</t>
  </si>
  <si>
    <t>73</t>
  </si>
  <si>
    <t>Driftveil Island</t>
  </si>
  <si>
    <t>Driftveil Gym and especially the Plasma House is floating. Island very rectangular cutoff. Bridge shadows overlap and cut into stairs, bridge markings and pillar tops are floating. Grey fence is floating too.</t>
  </si>
  <si>
    <t>74</t>
  </si>
  <si>
    <t>Driftveil Plasma House (Exterior)</t>
  </si>
  <si>
    <t>Significant overdraw across middle of screen.</t>
  </si>
  <si>
    <t>75</t>
  </si>
  <si>
    <t>???</t>
  </si>
  <si>
    <t>N/A</t>
  </si>
  <si>
    <t>Untested</t>
  </si>
  <si>
    <t>Purple vanilla background?</t>
  </si>
  <si>
    <t>76</t>
  </si>
  <si>
    <t>Driftveil Building</t>
  </si>
  <si>
    <t>Plant pot doesn't seem to have vertex lighting? Trainer sprite drawn over the building pillar in awkward way.</t>
  </si>
  <si>
    <t>77</t>
  </si>
  <si>
    <t xml:space="preserve">Driftveil Plasma House (Interior)
</t>
  </si>
  <si>
    <t>Plant pot doesn't seem to have vertex lighting?</t>
  </si>
  <si>
    <t>78</t>
  </si>
  <si>
    <t>Route 6</t>
  </si>
  <si>
    <t>Massive overdraw across screen. Wild grass needs updating to new style. River rock doesn't seem to be correctly animated.</t>
  </si>
  <si>
    <t>79</t>
  </si>
  <si>
    <t>Route 6 (2?)</t>
  </si>
  <si>
    <t xml:space="preserve">Not sure what the difference between these two is. Massive overdraw across screen. Wild grass needs updating to new style. River rock doesn't seem to be correctly animated.
</t>
  </si>
  <si>
    <t>80</t>
  </si>
  <si>
    <t>Clay Tunnel</t>
  </si>
  <si>
    <t>Fusion Flare creates a grey rectangle over the top half of the screen at the apex of the attack. Very ignorable though!</t>
  </si>
  <si>
    <t>81</t>
  </si>
  <si>
    <t>Driftveil Gym (Generic)</t>
  </si>
  <si>
    <t>Back rock wall needs to be made higher. Could maybe do with a visible tunnel bore?</t>
  </si>
  <si>
    <t>82</t>
  </si>
  <si>
    <t>Driftveil Gym (Clay)</t>
  </si>
  <si>
    <t>Backmost golden platform cuts into the purple conveyer belt. Back rock wall needs to be raised. Once more, could maybe do with a tunnel bore?</t>
  </si>
  <si>
    <t>Backgrounds</t>
  </si>
  <si>
    <t>Platforms</t>
  </si>
  <si>
    <t>ID</t>
  </si>
  <si>
    <t>Background Location</t>
  </si>
  <si>
    <t>Author</t>
  </si>
  <si>
    <t>Status</t>
  </si>
  <si>
    <t>Seasonal</t>
  </si>
  <si>
    <t>Versions</t>
  </si>
  <si>
    <t>Needed For</t>
  </si>
  <si>
    <t>Platform Description</t>
  </si>
  <si>
    <t>Used in?</t>
  </si>
  <si>
    <t>Aspertia Overlook</t>
  </si>
  <si>
    <t>Both</t>
  </si>
  <si>
    <t>Complete</t>
  </si>
  <si>
    <t>Yes</t>
  </si>
  <si>
    <t>Blank Platform</t>
  </si>
  <si>
    <t>Most backgrounds</t>
  </si>
  <si>
    <t>Completed</t>
  </si>
  <si>
    <t>Aspertia City Fishing</t>
  </si>
  <si>
    <t>Needs Work</t>
  </si>
  <si>
    <t>Water Platform 1</t>
  </si>
  <si>
    <t>Water Backgrounds</t>
  </si>
  <si>
    <t>Generic Pokemon Center</t>
  </si>
  <si>
    <t>No</t>
  </si>
  <si>
    <t>Water Platform 2</t>
  </si>
  <si>
    <t>Route 19</t>
  </si>
  <si>
    <t>Speakers 1</t>
  </si>
  <si>
    <t>Virbank Gym</t>
  </si>
  <si>
    <t>Generic Pond Surf/Fishing</t>
  </si>
  <si>
    <t>Speakers 2</t>
  </si>
  <si>
    <t>Route 20 (West)</t>
  </si>
  <si>
    <t>Season</t>
  </si>
  <si>
    <t>Bobbing Ship</t>
  </si>
  <si>
    <t>Virbank Docks</t>
  </si>
  <si>
    <t>Generic River Surf/Fishing</t>
  </si>
  <si>
    <t>Rollercoaster Car 1</t>
  </si>
  <si>
    <t>Old Nimbasa Gym</t>
  </si>
  <si>
    <t>Flocessy Ranch South</t>
  </si>
  <si>
    <t>Aphex</t>
  </si>
  <si>
    <t>Rollercoaster Car 2</t>
  </si>
  <si>
    <t>Flocessy Ranch North</t>
  </si>
  <si>
    <t>Mining Platform 1</t>
  </si>
  <si>
    <t>Driftveil Gym Trainers</t>
  </si>
  <si>
    <t>Mining Platform 2</t>
  </si>
  <si>
    <t xml:space="preserve">Pledge Grove </t>
  </si>
  <si>
    <t>Yellow Mining Platform 1</t>
  </si>
  <si>
    <t>Driftveil Gym Leader</t>
  </si>
  <si>
    <t>Aspertia Classroom</t>
  </si>
  <si>
    <t>Yellow Mining Platform 2</t>
  </si>
  <si>
    <t>Aspertia Gym Trainer A</t>
  </si>
  <si>
    <t>Cascade</t>
  </si>
  <si>
    <t>Wailord</t>
  </si>
  <si>
    <t>Marine Tube</t>
  </si>
  <si>
    <t xml:space="preserve">Aspertia Gym Trainer B </t>
  </si>
  <si>
    <t>Alomomola</t>
  </si>
  <si>
    <t>Aspertia Gym Leader</t>
  </si>
  <si>
    <t>Wind Turbines</t>
  </si>
  <si>
    <t>Skyla Gym</t>
  </si>
  <si>
    <t>Route 20 (East)</t>
  </si>
  <si>
    <t>Shauntel Books</t>
  </si>
  <si>
    <t>Shauntel's Room</t>
  </si>
  <si>
    <t>Shauntel Wisps</t>
  </si>
  <si>
    <t>Virbank City (Streets)</t>
  </si>
  <si>
    <t>Giant Clock Relic</t>
  </si>
  <si>
    <t>Iris Champion Room</t>
  </si>
  <si>
    <t>Virbank Canals</t>
  </si>
  <si>
    <t>Janine 1</t>
  </si>
  <si>
    <t>Janine Battle</t>
  </si>
  <si>
    <t>Virbank Docks (Day)</t>
  </si>
  <si>
    <t>Janine 2</t>
  </si>
  <si>
    <t>Virbank Docks (Sunset)</t>
  </si>
  <si>
    <t>Virbank Docks (Night)</t>
  </si>
  <si>
    <t>Virbank Complex (Exterior)</t>
  </si>
  <si>
    <t>Virbank Complex (Interior)</t>
  </si>
  <si>
    <t>Virbank Preschool</t>
  </si>
  <si>
    <t>-</t>
  </si>
  <si>
    <t>Not Started</t>
  </si>
  <si>
    <t>Virbank Gym (Trainers)</t>
  </si>
  <si>
    <t>Virbank Gym Leader</t>
  </si>
  <si>
    <t>Pokestar Studios (Exterior)</t>
  </si>
  <si>
    <t>Pokestar Studios (Interior)</t>
  </si>
  <si>
    <t>Redux</t>
  </si>
  <si>
    <t>Virbank City (by Pokestar Gate)</t>
  </si>
  <si>
    <t xml:space="preserve">Castelia City Streets </t>
  </si>
  <si>
    <t>Castelia Cafe</t>
  </si>
  <si>
    <t>Castelia Plaza</t>
  </si>
  <si>
    <t>Castelia Building (Red Tile)</t>
  </si>
  <si>
    <t>Castelia Building (Purple Tile)</t>
  </si>
  <si>
    <t>Route 4 (South Streets)</t>
  </si>
  <si>
    <t>BW2</t>
  </si>
  <si>
    <t>Route 4 (Water)</t>
  </si>
  <si>
    <t>Castelia Sewers</t>
  </si>
  <si>
    <t>Castelia Sewer (Dried Out)</t>
  </si>
  <si>
    <t>Castelia Sewer (Water)</t>
  </si>
  <si>
    <t>Castelia Sewer (Chambers)</t>
  </si>
  <si>
    <t>Castelia Back Alley</t>
  </si>
  <si>
    <t>Generic Cave Interior</t>
  </si>
  <si>
    <t>Liberty Garden (Day)</t>
  </si>
  <si>
    <t>Liberty Garden (Sunset)</t>
  </si>
  <si>
    <t>Liberty Garden (Night)</t>
  </si>
  <si>
    <t>Liberty Lighthouse Interior</t>
  </si>
  <si>
    <t>Castelia Gym Trainers</t>
  </si>
  <si>
    <t>Castelia Gym Leader</t>
  </si>
  <si>
    <t xml:space="preserve">Route 4 (Middle) </t>
  </si>
  <si>
    <t xml:space="preserve">Route 4 (Pre Pokestar) </t>
  </si>
  <si>
    <t>Desert Resort (Exterior)</t>
  </si>
  <si>
    <t>Desort Resort (Interior)</t>
  </si>
  <si>
    <t>Relic Castle (Interior)</t>
  </si>
  <si>
    <t>Join Avenue</t>
  </si>
  <si>
    <t xml:space="preserve">Nimbasa City </t>
  </si>
  <si>
    <t>Nimbasa Boardwalk</t>
  </si>
  <si>
    <t>Nimbasa Stadium</t>
  </si>
  <si>
    <t>Battle Subway</t>
  </si>
  <si>
    <t>Route 5 (Streets)</t>
  </si>
  <si>
    <t>Route 16 (Streets)</t>
  </si>
  <si>
    <t>Route 16 (Forests)</t>
  </si>
  <si>
    <t>Hidden Grotto</t>
  </si>
  <si>
    <t>Lostlorn Forest (Bridge)</t>
  </si>
  <si>
    <t>Generic Pine River Surf/Fishing</t>
  </si>
  <si>
    <t>Lostlorn Forest (Flower Field)</t>
  </si>
  <si>
    <t>Nimbasa Gym (Old Gym)</t>
  </si>
  <si>
    <t>Nimbasa Gym (Trainers)</t>
  </si>
  <si>
    <t>Nimbasa Gym Leader</t>
  </si>
  <si>
    <t xml:space="preserve">Driftveil Drawbridge </t>
  </si>
  <si>
    <t>Driftveil City</t>
  </si>
  <si>
    <t xml:space="preserve">Driftveil City (by Church) </t>
  </si>
  <si>
    <t>Driftveil Interior Buildings</t>
  </si>
  <si>
    <t>Plasma Sanctuary</t>
  </si>
  <si>
    <t>Driftveil Norman</t>
  </si>
  <si>
    <t>Route 6 (South)</t>
  </si>
  <si>
    <t>Driftveil Gym Trainer</t>
  </si>
  <si>
    <t xml:space="preserve">Driftveil Gym Leader </t>
  </si>
  <si>
    <t>Generic Cave Fishing/Surfing</t>
  </si>
  <si>
    <t>Relic Sanctum (the lower floors)</t>
  </si>
  <si>
    <t xml:space="preserve">PWT Interior </t>
  </si>
  <si>
    <t>PWT Arena</t>
  </si>
  <si>
    <t>Plasma Frigate Deck</t>
  </si>
  <si>
    <t>Iron Chamber</t>
  </si>
  <si>
    <t>Chargestone Cave Entrance</t>
  </si>
  <si>
    <t>Chargestone Cave (1F)</t>
  </si>
  <si>
    <t>Chargestone Cave (B1F)</t>
  </si>
  <si>
    <t>Route 7</t>
  </si>
  <si>
    <t>Celestial Tower (Base)</t>
  </si>
  <si>
    <t>Celestial Tower (Middle)</t>
  </si>
  <si>
    <t>Celestial Rooftop</t>
  </si>
  <si>
    <t xml:space="preserve">Twist Mountain (entrance) </t>
  </si>
  <si>
    <t>Mistralton Gym Trainers</t>
  </si>
  <si>
    <t>Mistralton Gym Leader</t>
  </si>
  <si>
    <t>Reversal Mountain Outskirts</t>
  </si>
  <si>
    <t>Strange House</t>
  </si>
  <si>
    <t>Reversal Mountain</t>
  </si>
  <si>
    <t xml:space="preserve">Reversal Heart </t>
  </si>
  <si>
    <t>Route 14</t>
  </si>
  <si>
    <t>Undella Town (Alder)</t>
  </si>
  <si>
    <t>Undella Interior</t>
  </si>
  <si>
    <t>Generic Ocean Surfing/Fishing</t>
  </si>
  <si>
    <t>Abundant Shrine</t>
  </si>
  <si>
    <t>Generic Pine Pond Fishing/Surf</t>
  </si>
  <si>
    <t>Humilau City (Streets)</t>
  </si>
  <si>
    <t>Humilau City (Surfing/Water)</t>
  </si>
  <si>
    <t>Route 22</t>
  </si>
  <si>
    <t>Pinwheel Forest (Forest)</t>
  </si>
  <si>
    <t>Rumination Field</t>
  </si>
  <si>
    <t>Humilau Gym Trainers</t>
  </si>
  <si>
    <t xml:space="preserve">Needs Work </t>
  </si>
  <si>
    <t>Humilau Gym Leader</t>
  </si>
  <si>
    <t>Abyssal Ruins</t>
  </si>
  <si>
    <t>Abyssal Sanctum</t>
  </si>
  <si>
    <t>Plasma Frigate Interiors</t>
  </si>
  <si>
    <t>Frigate Kyurem Room (South)</t>
  </si>
  <si>
    <t>Frigate Kyurem Room (North)</t>
  </si>
  <si>
    <t>Route 13 (Beachs)</t>
  </si>
  <si>
    <t>Lacunosa Town</t>
  </si>
  <si>
    <t>Route 12</t>
  </si>
  <si>
    <t>Village Bridge (Bridge)</t>
  </si>
  <si>
    <t>Village Bridge (Courts &amp; Forests)</t>
  </si>
  <si>
    <t>Striaton Restaurant</t>
  </si>
  <si>
    <t xml:space="preserve">Route 11 </t>
  </si>
  <si>
    <t xml:space="preserve">Opelucid City Streets </t>
  </si>
  <si>
    <t>Route 9</t>
  </si>
  <si>
    <t>SM9</t>
  </si>
  <si>
    <t>SM9 (Rotom)</t>
  </si>
  <si>
    <t>Twist Mountain (Ice Chamber)</t>
  </si>
  <si>
    <t xml:space="preserve">Twist Mountain (Basin) </t>
  </si>
  <si>
    <t xml:space="preserve">Nature Preserve </t>
  </si>
  <si>
    <t>Opelucid Gym Trainers</t>
  </si>
  <si>
    <t xml:space="preserve">Opelucid Gym Leader </t>
  </si>
  <si>
    <t>Opelucid Frozen</t>
  </si>
  <si>
    <t xml:space="preserve">Opelucid Zinzolin </t>
  </si>
  <si>
    <t xml:space="preserve">Route 9 Frozen </t>
  </si>
  <si>
    <t>Route 11 Frozen</t>
  </si>
  <si>
    <t>Moors of Iccirrus</t>
  </si>
  <si>
    <t xml:space="preserve">Route 10 </t>
  </si>
  <si>
    <t>Route 23 (Strength Rocks Area)</t>
  </si>
  <si>
    <t>Route 23 (Valleys)</t>
  </si>
  <si>
    <t>Giant Chasm (Basin)</t>
  </si>
  <si>
    <t>Plasma Frigate (Hallway)</t>
  </si>
  <si>
    <t>Plasma Frigate (Barracks)</t>
  </si>
  <si>
    <t xml:space="preserve">Plasma Frigate (Kyurem's Room) </t>
  </si>
  <si>
    <t>Plasma Frigate (Colress's Room)</t>
  </si>
  <si>
    <t>Plasma Frigate (Ghetsis's Room)</t>
  </si>
  <si>
    <t>Giant Chasm (Frozen Basin)</t>
  </si>
  <si>
    <t>Deep Giant Chasm</t>
  </si>
  <si>
    <t>Victory Road (Entrance)</t>
  </si>
  <si>
    <t>Victory Road (Ruins)</t>
  </si>
  <si>
    <t>Victory Road (Cliffs)</t>
  </si>
  <si>
    <t>Victory Road (Hugh)</t>
  </si>
  <si>
    <t>Pokemon League Entrance</t>
  </si>
  <si>
    <t>Old Victory Road</t>
  </si>
  <si>
    <t>N's Castle (N's Room)</t>
  </si>
  <si>
    <t>N's Castle (Throne Room)</t>
  </si>
  <si>
    <t>Marshall's Room</t>
  </si>
  <si>
    <t>Grimsley's Room</t>
  </si>
  <si>
    <t>Caitlyn's Room</t>
  </si>
  <si>
    <t>Iris's Room</t>
  </si>
  <si>
    <t>Icirrus City</t>
  </si>
  <si>
    <t>Icirrus Gym</t>
  </si>
  <si>
    <t>Dragonspiral Tower</t>
  </si>
  <si>
    <t>Dragonspiral Interior</t>
  </si>
  <si>
    <t xml:space="preserve">Dragonspiral Peak </t>
  </si>
  <si>
    <t>Underground Chamber</t>
  </si>
  <si>
    <t>Ice Chamber</t>
  </si>
  <si>
    <t>Stone Chamber</t>
  </si>
  <si>
    <t>Pinwheel Forest (Exterior)</t>
  </si>
  <si>
    <t>Route 3</t>
  </si>
  <si>
    <t>Striaton City</t>
  </si>
  <si>
    <t>Dreamyard</t>
  </si>
  <si>
    <t>Dreamyard (Lower Floors)</t>
  </si>
  <si>
    <t>Route 2</t>
  </si>
  <si>
    <t>Route 1 (East)</t>
  </si>
  <si>
    <t>Route 1 (West)</t>
  </si>
  <si>
    <t xml:space="preserve">Route 17 (Shallows) </t>
  </si>
  <si>
    <t>Route 18 (Beaches)</t>
  </si>
  <si>
    <t>P2 Labaratory</t>
  </si>
  <si>
    <t xml:space="preserve">Route 15 </t>
  </si>
  <si>
    <t>Black City</t>
  </si>
  <si>
    <t>Black Tower (Interior)</t>
  </si>
  <si>
    <t>Black Sanctum</t>
  </si>
  <si>
    <t>White Forest</t>
  </si>
  <si>
    <t>White Treehollow</t>
  </si>
  <si>
    <t>Treehollow Sanctum</t>
  </si>
  <si>
    <t>Entralink</t>
  </si>
  <si>
    <t>PWT (Battle Bros)</t>
  </si>
  <si>
    <t>Unity Tower</t>
  </si>
  <si>
    <t>Plasma Frigate Deck (Route 21)</t>
  </si>
  <si>
    <t>Undella Town (Hugh)</t>
  </si>
  <si>
    <t>Castelia Sewers (Grunt Battle)</t>
  </si>
  <si>
    <t>Castelia Sewers (Backrooms)</t>
  </si>
  <si>
    <t>Nimbasa Battle Facility</t>
  </si>
  <si>
    <t>Public Release</t>
  </si>
  <si>
    <t>Royal Unova</t>
  </si>
  <si>
    <t>Cave of Being</t>
  </si>
  <si>
    <t>Tubeline Bridge</t>
  </si>
  <si>
    <t>Marvelous Bridge</t>
  </si>
  <si>
    <t>Skyline Bridge</t>
  </si>
  <si>
    <t>Vanilla Output</t>
  </si>
  <si>
    <t>Modified Output</t>
  </si>
  <si>
    <t>Skyla Split Output</t>
  </si>
  <si>
    <t>Name</t>
  </si>
  <si>
    <t>Uses</t>
  </si>
  <si>
    <t>Platform ID</t>
  </si>
  <si>
    <t>Padding</t>
  </si>
  <si>
    <t>Time</t>
  </si>
  <si>
    <t>Grass</t>
  </si>
  <si>
    <t>Ground</t>
  </si>
  <si>
    <t>Grd S1</t>
  </si>
  <si>
    <t>Grd S2</t>
  </si>
  <si>
    <t>Normal</t>
  </si>
  <si>
    <t>Enc Gr</t>
  </si>
  <si>
    <t>Water</t>
  </si>
  <si>
    <t>Snow</t>
  </si>
  <si>
    <t>Sand</t>
  </si>
  <si>
    <t>Marsh</t>
  </si>
  <si>
    <t>Cave</t>
  </si>
  <si>
    <t>Puddle</t>
  </si>
  <si>
    <t>Shallow</t>
  </si>
  <si>
    <t>Ice</t>
  </si>
  <si>
    <t>Enc Ind</t>
  </si>
  <si>
    <t>Palace</t>
  </si>
  <si>
    <t>Ghetsis</t>
  </si>
  <si>
    <t>Leaves</t>
  </si>
  <si>
    <t>BTower</t>
  </si>
  <si>
    <t>WHollo</t>
  </si>
  <si>
    <t>Grass Season</t>
  </si>
  <si>
    <t>City</t>
  </si>
  <si>
    <t>City Season</t>
  </si>
  <si>
    <t>Dark Cave</t>
  </si>
  <si>
    <t>Forest</t>
  </si>
  <si>
    <t>Mountain</t>
  </si>
  <si>
    <t>Ocean</t>
  </si>
  <si>
    <t>Indoors</t>
  </si>
  <si>
    <t>Shauntel</t>
  </si>
  <si>
    <t>Marshal</t>
  </si>
  <si>
    <t>Grimsley</t>
  </si>
  <si>
    <t>Caitlyn</t>
  </si>
  <si>
    <t>N's Castle</t>
  </si>
  <si>
    <t>Champion</t>
  </si>
  <si>
    <t>Dragonspiral</t>
  </si>
  <si>
    <t>PWT</t>
  </si>
  <si>
    <t>Subway</t>
  </si>
  <si>
    <t>Kyurem</t>
  </si>
  <si>
    <t>Testing</t>
  </si>
  <si>
    <t>Testing 2</t>
  </si>
  <si>
    <t>Testing 3</t>
  </si>
  <si>
    <t>Aspertia City</t>
  </si>
  <si>
    <t>Pokemon Center</t>
  </si>
  <si>
    <t>Route 20</t>
  </si>
  <si>
    <t>Flocessy Ranch (South)</t>
  </si>
  <si>
    <t>Flocessy Ranch (North)</t>
  </si>
  <si>
    <t xml:space="preserve">Aspertia Gym Trainer A </t>
  </si>
  <si>
    <t>Aspertia Gym Trainer B</t>
  </si>
  <si>
    <t xml:space="preserve">Virbank Gate </t>
  </si>
  <si>
    <t>Virbank City</t>
  </si>
  <si>
    <t>Virbank Gym (Leader)</t>
  </si>
  <si>
    <t>Virbank City (Brycen)</t>
  </si>
  <si>
    <t>Castelia City Streets</t>
  </si>
  <si>
    <t xml:space="preserve">Castelia Building (Purple Tile) </t>
  </si>
  <si>
    <t>Castelia Backrooms</t>
  </si>
  <si>
    <t>Castelia Backalley</t>
  </si>
  <si>
    <t xml:space="preserve">Castelia Sewer Grunts </t>
  </si>
  <si>
    <t>Cave Interior</t>
  </si>
  <si>
    <t>Liberty Garden Interior</t>
  </si>
  <si>
    <t>Route 4 (Middle)</t>
  </si>
  <si>
    <t>Route 4 (Pre Pokestar)</t>
  </si>
  <si>
    <t>Desert Resort (Interior)</t>
  </si>
  <si>
    <t xml:space="preserve">Join Avenue </t>
  </si>
  <si>
    <t>Route 5</t>
  </si>
  <si>
    <t>Route 5 Grass/Forest</t>
  </si>
  <si>
    <t>Route 16</t>
  </si>
  <si>
    <t>Route 16 Grass/Forest</t>
  </si>
  <si>
    <t>Nimbasa Old Gym</t>
  </si>
  <si>
    <t>Nimbasa Gym (Leader)</t>
  </si>
  <si>
    <t>Driftveil CIty (By plasma sanctuary)</t>
  </si>
  <si>
    <t xml:space="preserve">Driftveil Interior </t>
  </si>
  <si>
    <t>Driftveil Norman/Janine</t>
  </si>
  <si>
    <t xml:space="preserve">Relic Sanctum </t>
  </si>
  <si>
    <t>PWT Exterior</t>
  </si>
  <si>
    <t>PWT Stage</t>
  </si>
  <si>
    <t xml:space="preserve">Iron Chamber </t>
  </si>
  <si>
    <t>Chargestone Cave Mouth</t>
  </si>
  <si>
    <t>Chargestone Cave 1F</t>
  </si>
  <si>
    <t>Chargestone Cave B1F</t>
  </si>
  <si>
    <t>Celestial Tower (Rooftop)</t>
  </si>
  <si>
    <t>Twist Mountain (Entrance)</t>
  </si>
  <si>
    <t>Mistralton Gym Trainer</t>
  </si>
  <si>
    <t xml:space="preserve">Reversal Mountain Interior </t>
  </si>
  <si>
    <t>Reversal Mountain Heart</t>
  </si>
  <si>
    <t xml:space="preserve">Route 14 </t>
  </si>
  <si>
    <t>Undella Town (Boss)</t>
  </si>
  <si>
    <t xml:space="preserve">Abundant Shrine </t>
  </si>
  <si>
    <t xml:space="preserve">Marine Tube </t>
  </si>
  <si>
    <t>Humilau City</t>
  </si>
  <si>
    <t>Pinwheel Forest</t>
  </si>
  <si>
    <t>Huimlau Gym Trainers</t>
  </si>
  <si>
    <t>Plasma Frigate Laser Room</t>
  </si>
  <si>
    <t>Plasma Frigate Barracks Hallway</t>
  </si>
  <si>
    <t>Plasma Frigate Presentation Room</t>
  </si>
  <si>
    <t>Plasma Frigate Barracks</t>
  </si>
  <si>
    <t>Plasma Frigate Kyurem Overlook</t>
  </si>
  <si>
    <t>Route 13</t>
  </si>
  <si>
    <t>Village Bridge</t>
  </si>
  <si>
    <t xml:space="preserve">Striaton Restaurant </t>
  </si>
  <si>
    <t>Route 11</t>
  </si>
  <si>
    <t>Opelucid City</t>
  </si>
  <si>
    <t>SM9 Rotom/Giovanni Room</t>
  </si>
  <si>
    <t>Twist Mountain (Basin)</t>
  </si>
  <si>
    <t>Nature Preserve</t>
  </si>
  <si>
    <t>Opelucid Gym Leader</t>
  </si>
  <si>
    <t>Opelucid Zinzolin</t>
  </si>
  <si>
    <t>Route 9 Frozen</t>
  </si>
  <si>
    <t>Moors of Icirrus</t>
  </si>
  <si>
    <t>Route 10</t>
  </si>
  <si>
    <t>Route 23 (West)</t>
  </si>
  <si>
    <t xml:space="preserve">Route 23 (Valleys) </t>
  </si>
  <si>
    <t>Plasma Frigate (Pillars room)</t>
  </si>
  <si>
    <t>Plasma Frigate (Kyurem's Chamber)</t>
  </si>
  <si>
    <t>Deep Giant Chasm (Kyurem's Lair)</t>
  </si>
  <si>
    <t>Black City / White Treehollow</t>
  </si>
  <si>
    <t xml:space="preserve">Black Sanctum / Treehollow Sanctum </t>
  </si>
  <si>
    <t>Route 15</t>
  </si>
  <si>
    <t>P2 Laboratory</t>
  </si>
  <si>
    <t>Route 18</t>
  </si>
  <si>
    <t>Route 17</t>
  </si>
  <si>
    <t>Route 1</t>
  </si>
  <si>
    <t>Iccirrus City</t>
  </si>
  <si>
    <t>Dragonspiral Tower Exterior</t>
  </si>
  <si>
    <t>Dragonspiral Tower Interior</t>
  </si>
  <si>
    <t>Dragonspiral Tower Peak</t>
  </si>
  <si>
    <t>Skyarrow Bridge</t>
  </si>
  <si>
    <t>?</t>
  </si>
  <si>
    <t>Model ID</t>
  </si>
  <si>
    <t>Animation ID</t>
  </si>
  <si>
    <t>Spring</t>
  </si>
  <si>
    <t>Summer</t>
  </si>
  <si>
    <t>Autumn</t>
  </si>
  <si>
    <t>Winter</t>
  </si>
  <si>
    <t>Grass (Season)</t>
  </si>
  <si>
    <t>City (Season)</t>
  </si>
  <si>
    <t>N's Palace</t>
  </si>
  <si>
    <t>E4 Ghost</t>
  </si>
  <si>
    <t>E4 Fighting</t>
  </si>
  <si>
    <t>E4 Dark</t>
  </si>
  <si>
    <t>E4 Psychic</t>
  </si>
  <si>
    <t>WHollow 1</t>
  </si>
  <si>
    <t>WHollow 2</t>
  </si>
  <si>
    <t>WHollow 3</t>
  </si>
  <si>
    <t>WHollow 4</t>
  </si>
  <si>
    <t>BTower 1</t>
  </si>
  <si>
    <t>BTower 2</t>
  </si>
  <si>
    <t>BTower 3</t>
  </si>
  <si>
    <t>BTower 4</t>
  </si>
  <si>
    <t>Testing 1</t>
  </si>
  <si>
    <t>Generic Pond Water / Regular Trees</t>
  </si>
  <si>
    <t>Generic River Water / Regular Trees</t>
  </si>
  <si>
    <t>Generic Pond Water / Pine Trees</t>
  </si>
  <si>
    <t>Generic River Water / Pine Trees</t>
  </si>
  <si>
    <t>Generic River Water / Cliffs</t>
  </si>
  <si>
    <t>Generic Cave Interior (FIshing/Surfing)</t>
  </si>
  <si>
    <t>Generic Clay Cave Interior</t>
  </si>
  <si>
    <t>Generic Building Interior</t>
  </si>
  <si>
    <t>Aspertia Fishing</t>
  </si>
  <si>
    <t>Virbank Gym (Leaders)</t>
  </si>
  <si>
    <t>Virbank City (Byrcen)</t>
  </si>
  <si>
    <t>Castelia Sewers (Water)</t>
  </si>
  <si>
    <t>Castelia Sewers Backrooms</t>
  </si>
  <si>
    <t>Castelia Sewer GRunts</t>
  </si>
  <si>
    <t xml:space="preserve">Route 5 Grass </t>
  </si>
  <si>
    <t xml:space="preserve">Route 16 </t>
  </si>
  <si>
    <t>Route 16 Grass</t>
  </si>
  <si>
    <t>Nimbasa Gym Trainers</t>
  </si>
  <si>
    <t>Driftveil City (By Sanctuary)</t>
  </si>
  <si>
    <t>Driftveil Interior</t>
  </si>
  <si>
    <t xml:space="preserve">Route 6 </t>
  </si>
  <si>
    <t>Driftveil Gym (Trainers)</t>
  </si>
  <si>
    <t>Driftveil Gym (Leader)</t>
  </si>
  <si>
    <t>PWT Interior</t>
  </si>
  <si>
    <t xml:space="preserve">PWT Stage </t>
  </si>
  <si>
    <t>Plasma Frigate Deck (PWT)</t>
  </si>
  <si>
    <t>Chargestone Cave (Mouth)</t>
  </si>
  <si>
    <t>Chargestone Cave Interior</t>
  </si>
  <si>
    <t>Celestial Tower (Ground Floor)</t>
  </si>
  <si>
    <t>Celestial Tower (Middle Floor)</t>
  </si>
  <si>
    <t>Reversal Mountain Interior</t>
  </si>
  <si>
    <t>Undella Town Boss (Alder / Hugh)</t>
  </si>
  <si>
    <t>Humilau City (Fishing/Surfing)</t>
  </si>
  <si>
    <t>Route 21</t>
  </si>
  <si>
    <t>Pinwheel Forest (Fishing)</t>
  </si>
  <si>
    <t>Undella Bay</t>
  </si>
  <si>
    <t xml:space="preserve">Route 13 </t>
  </si>
  <si>
    <t>Village Bridge Forests</t>
  </si>
  <si>
    <t>Village Bridge (Surfing/Fishing)</t>
  </si>
  <si>
    <t>Frozen Opelucid</t>
  </si>
  <si>
    <t xml:space="preserve">Moors of Icirrus / Route 8 </t>
  </si>
  <si>
    <t>Route 23 (East)</t>
  </si>
  <si>
    <t>Plasma Frigate (Pillars Room)</t>
  </si>
  <si>
    <t>Pokemon League (Entrance)</t>
  </si>
  <si>
    <t>N's Castle (N's Throne)</t>
  </si>
  <si>
    <t>Shauntal's Room</t>
  </si>
  <si>
    <t>Black Sanctum / Treehollow Sanctum</t>
  </si>
  <si>
    <t xml:space="preserve">Route 1 </t>
  </si>
  <si>
    <t>Dragonspiral Tower (Exterior)</t>
  </si>
  <si>
    <t>Dragonspiral Tower (Interior)</t>
  </si>
  <si>
    <t>Dragonspiral Tower (Peak)</t>
  </si>
  <si>
    <t>Unk</t>
  </si>
  <si>
    <t>Model</t>
  </si>
  <si>
    <t>Animation</t>
  </si>
  <si>
    <t>Texture</t>
  </si>
  <si>
    <t>Unknown</t>
  </si>
  <si>
    <t>Spring Player</t>
  </si>
  <si>
    <t>Spring Enemy</t>
  </si>
  <si>
    <t>Summer Player</t>
  </si>
  <si>
    <t>Summer Enemy</t>
  </si>
  <si>
    <t>Autumn Player</t>
  </si>
  <si>
    <t>Autumn Enemy</t>
  </si>
  <si>
    <t>Winter Player</t>
  </si>
  <si>
    <t>Winter Enemy</t>
  </si>
  <si>
    <t>Ground S1</t>
  </si>
  <si>
    <t>Interior Water</t>
  </si>
  <si>
    <t>Sand Indoors</t>
  </si>
  <si>
    <t>E4 Fight</t>
  </si>
  <si>
    <t>E4 Psych</t>
  </si>
  <si>
    <t>Enc Grass /w Seasons</t>
  </si>
  <si>
    <t>Enc Grass no Season</t>
  </si>
  <si>
    <t>Sand / ground</t>
  </si>
  <si>
    <t>White Hollow</t>
  </si>
  <si>
    <t>Black Tower 1</t>
  </si>
  <si>
    <t>Black Tower 2</t>
  </si>
  <si>
    <t>Black Tower 3</t>
  </si>
  <si>
    <t>Black Tower 4</t>
  </si>
  <si>
    <t>Testing #1</t>
  </si>
  <si>
    <t>Testing #2</t>
  </si>
  <si>
    <t>Testing #3</t>
  </si>
  <si>
    <t>Blank</t>
  </si>
  <si>
    <t>Water Platform</t>
  </si>
  <si>
    <t>Docks Platform</t>
  </si>
  <si>
    <t>Janine</t>
  </si>
  <si>
    <t>Driftveil Gym</t>
  </si>
  <si>
    <t>Background Table</t>
  </si>
  <si>
    <t>Zone ID</t>
  </si>
  <si>
    <t>Location Name</t>
  </si>
  <si>
    <t>Override #1 Condition</t>
  </si>
  <si>
    <t>Override #1 Background ID</t>
  </si>
  <si>
    <t>Override #2 Condition</t>
  </si>
  <si>
    <t>Override #2 Background ID</t>
  </si>
  <si>
    <t>Override #3 Condition</t>
  </si>
  <si>
    <t>Override #3 Background ID</t>
  </si>
  <si>
    <t>Route 4 (White 2)</t>
  </si>
  <si>
    <t>POS: (500 &gt; Z &gt; 400)</t>
  </si>
  <si>
    <t>TrainerID == 764</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</si>
</sst>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sz val="16.0"/>
      <color theme="1"/>
      <name val="Arial"/>
      <scheme val="minor"/>
    </font>
    <font/>
    <font>
      <b/>
      <color theme="1"/>
      <name val="Arial"/>
      <scheme val="minor"/>
    </font>
    <font>
      <color theme="1"/>
      <name val="Arial"/>
    </font>
    <font>
      <b/>
      <color theme="1"/>
      <name val="Arial"/>
    </font>
    <font>
      <b/>
      <sz val="14.0"/>
      <color theme="1"/>
      <name val="Arial"/>
      <scheme val="minor"/>
    </font>
    <font>
      <i/>
      <color theme="1"/>
      <name val="Arial"/>
      <scheme val="minor"/>
    </font>
    <font>
      <b/>
      <sz val="15.0"/>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thin">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medium">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0" fillId="0" fontId="1" numFmtId="0" xfId="0" applyAlignment="1" applyFont="1">
      <alignment readingOrder="0"/>
    </xf>
    <xf borderId="6" fillId="0" fontId="4" numFmtId="0" xfId="0" applyAlignment="1" applyBorder="1" applyFont="1">
      <alignment horizontal="right" readingOrder="0"/>
    </xf>
    <xf borderId="7" fillId="0" fontId="4" numFmtId="0" xfId="0" applyAlignment="1" applyBorder="1" applyFont="1">
      <alignment readingOrder="0"/>
    </xf>
    <xf borderId="8" fillId="0" fontId="4" numFmtId="0" xfId="0" applyAlignment="1" applyBorder="1" applyFont="1">
      <alignment readingOrder="0"/>
    </xf>
    <xf borderId="6" fillId="0" fontId="4" numFmtId="0" xfId="0" applyAlignment="1" applyBorder="1" applyFont="1">
      <alignment readingOrder="0"/>
    </xf>
    <xf borderId="9" fillId="0" fontId="4" numFmtId="0" xfId="0" applyAlignment="1" applyBorder="1" applyFont="1">
      <alignment readingOrder="0"/>
    </xf>
    <xf borderId="0" fillId="2" fontId="5" numFmtId="0" xfId="0" applyAlignment="1" applyFill="1" applyFont="1">
      <alignment readingOrder="0" vertical="bottom"/>
    </xf>
    <xf borderId="5" fillId="0" fontId="1" numFmtId="0" xfId="0" applyAlignment="1" applyBorder="1" applyFont="1">
      <alignment readingOrder="0"/>
    </xf>
    <xf borderId="0" fillId="3" fontId="1" numFmtId="0" xfId="0" applyAlignment="1" applyFill="1" applyFont="1">
      <alignment readingOrder="0"/>
    </xf>
    <xf borderId="9" fillId="0" fontId="6" numFmtId="0" xfId="0" applyAlignment="1" applyBorder="1" applyFont="1">
      <alignment horizontal="right" readingOrder="0" vertical="bottom"/>
    </xf>
    <xf borderId="0" fillId="0" fontId="5" numFmtId="0" xfId="0" applyAlignment="1" applyFont="1">
      <alignment readingOrder="0" vertical="bottom"/>
    </xf>
    <xf borderId="5" fillId="0" fontId="5" numFmtId="0" xfId="0" applyAlignment="1" applyBorder="1" applyFont="1">
      <alignment readingOrder="0" vertical="bottom"/>
    </xf>
    <xf borderId="9" fillId="0" fontId="5" numFmtId="0" xfId="0" applyAlignment="1" applyBorder="1" applyFont="1">
      <alignment vertical="bottom"/>
    </xf>
    <xf borderId="0" fillId="0" fontId="5" numFmtId="0" xfId="0" applyAlignment="1" applyFont="1">
      <alignment vertical="bottom"/>
    </xf>
    <xf borderId="5" fillId="0" fontId="5" numFmtId="0" xfId="0" applyAlignment="1" applyBorder="1" applyFont="1">
      <alignment vertical="bottom"/>
    </xf>
    <xf borderId="10" fillId="0" fontId="5" numFmtId="0" xfId="0" applyAlignment="1" applyBorder="1" applyFont="1">
      <alignment vertical="bottom"/>
    </xf>
    <xf borderId="11" fillId="0" fontId="5" numFmtId="0" xfId="0" applyAlignment="1" applyBorder="1" applyFont="1">
      <alignment vertical="bottom"/>
    </xf>
    <xf borderId="12" fillId="0" fontId="5" numFmtId="0" xfId="0" applyAlignment="1" applyBorder="1" applyFont="1">
      <alignment vertical="bottom"/>
    </xf>
    <xf borderId="0" fillId="4" fontId="5" numFmtId="0" xfId="0" applyAlignment="1" applyFill="1" applyFont="1">
      <alignment readingOrder="0" vertical="bottom"/>
    </xf>
    <xf borderId="0" fillId="0" fontId="5" numFmtId="0" xfId="0" applyAlignment="1" applyFont="1">
      <alignment vertical="bottom"/>
    </xf>
    <xf borderId="10" fillId="0" fontId="4" numFmtId="0" xfId="0" applyAlignment="1" applyBorder="1" applyFont="1">
      <alignment readingOrder="0"/>
    </xf>
    <xf borderId="13" fillId="0" fontId="7" numFmtId="0" xfId="0" applyAlignment="1" applyBorder="1" applyFont="1">
      <alignment horizontal="center" readingOrder="0" shrinkToFit="0" wrapText="1"/>
    </xf>
    <xf borderId="14" fillId="0" fontId="1" numFmtId="0" xfId="0" applyAlignment="1" applyBorder="1" applyFont="1">
      <alignment readingOrder="0" shrinkToFit="0" wrapText="1"/>
    </xf>
    <xf borderId="15" fillId="0" fontId="3" numFmtId="0" xfId="0" applyBorder="1" applyFont="1"/>
    <xf borderId="16" fillId="0" fontId="3" numFmtId="0" xfId="0" applyBorder="1" applyFont="1"/>
    <xf borderId="14" fillId="0" fontId="7" numFmtId="0" xfId="0" applyAlignment="1" applyBorder="1" applyFont="1">
      <alignment horizontal="center" readingOrder="0" shrinkToFit="0"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14" fillId="0" fontId="4" numFmtId="0" xfId="0" applyAlignment="1" applyBorder="1" applyFont="1">
      <alignment horizontal="center" readingOrder="0" vertical="center"/>
    </xf>
    <xf borderId="24" fillId="0" fontId="4" numFmtId="0" xfId="0" applyAlignment="1" applyBorder="1" applyFont="1">
      <alignment horizontal="center" readingOrder="0"/>
    </xf>
    <xf borderId="15" fillId="0" fontId="4" numFmtId="0" xfId="0" applyAlignment="1" applyBorder="1" applyFont="1">
      <alignment horizontal="center" readingOrder="0"/>
    </xf>
    <xf borderId="25" fillId="0" fontId="4" numFmtId="0" xfId="0" applyAlignment="1" applyBorder="1" applyFont="1">
      <alignment horizontal="center" readingOrder="0"/>
    </xf>
    <xf borderId="26" fillId="0" fontId="3" numFmtId="0" xfId="0" applyBorder="1" applyFont="1"/>
    <xf borderId="0" fillId="0" fontId="4" numFmtId="0" xfId="0" applyFont="1"/>
    <xf borderId="27" fillId="0" fontId="4" numFmtId="0" xfId="0" applyAlignment="1" applyBorder="1" applyFont="1">
      <alignment horizontal="center" readingOrder="0" shrinkToFit="0" wrapText="1"/>
    </xf>
    <xf borderId="23" fillId="0" fontId="4" numFmtId="0" xfId="0" applyAlignment="1" applyBorder="1" applyFont="1">
      <alignment horizontal="center" readingOrder="0" shrinkToFit="0" wrapText="1"/>
    </xf>
    <xf borderId="28" fillId="0" fontId="4" numFmtId="0" xfId="0" applyAlignment="1" applyBorder="1" applyFont="1">
      <alignment horizontal="center" readingOrder="0" shrinkToFit="0" wrapText="1"/>
    </xf>
    <xf borderId="29" fillId="0" fontId="4" numFmtId="0" xfId="0" applyAlignment="1" applyBorder="1" applyFont="1">
      <alignment horizontal="center" readingOrder="0" shrinkToFit="0" wrapText="1"/>
    </xf>
    <xf borderId="0" fillId="0" fontId="4" numFmtId="0" xfId="0" applyAlignment="1" applyFont="1">
      <alignment readingOrder="0"/>
    </xf>
    <xf borderId="30" fillId="0" fontId="1" numFmtId="0" xfId="0" applyAlignment="1" applyBorder="1" applyFont="1">
      <alignment readingOrder="0"/>
    </xf>
    <xf borderId="19" fillId="0" fontId="1" numFmtId="0" xfId="0" applyAlignment="1" applyBorder="1" applyFont="1">
      <alignment readingOrder="0"/>
    </xf>
    <xf borderId="0" fillId="0" fontId="1" numFmtId="0" xfId="0" applyFont="1"/>
    <xf borderId="5" fillId="0" fontId="1" numFmtId="0" xfId="0" applyBorder="1" applyFont="1"/>
    <xf borderId="31" fillId="0" fontId="1" numFmtId="0" xfId="0" applyAlignment="1" applyBorder="1" applyFont="1">
      <alignment readingOrder="0"/>
    </xf>
    <xf borderId="26" fillId="0" fontId="1" numFmtId="0" xfId="0" applyAlignment="1" applyBorder="1" applyFont="1">
      <alignment readingOrder="0"/>
    </xf>
    <xf borderId="15" fillId="0" fontId="1" numFmtId="0" xfId="0" applyAlignment="1" applyBorder="1" applyFont="1">
      <alignment readingOrder="0"/>
    </xf>
    <xf borderId="16" fillId="0" fontId="1" numFmtId="0" xfId="0" applyAlignment="1" applyBorder="1" applyFont="1">
      <alignment readingOrder="0"/>
    </xf>
    <xf borderId="5" fillId="3" fontId="4" numFmtId="0" xfId="0" applyAlignment="1" applyBorder="1" applyFont="1">
      <alignment readingOrder="0"/>
    </xf>
    <xf borderId="0" fillId="0" fontId="5" numFmtId="0" xfId="0" applyAlignment="1" applyFont="1">
      <alignment horizontal="right" readingOrder="0" vertical="bottom"/>
    </xf>
    <xf borderId="5" fillId="0" fontId="5" numFmtId="0" xfId="0" applyAlignment="1" applyBorder="1" applyFont="1">
      <alignment horizontal="right" readingOrder="0" vertical="bottom"/>
    </xf>
    <xf borderId="29" fillId="0" fontId="1" numFmtId="0" xfId="0" applyAlignment="1" applyBorder="1" applyFont="1">
      <alignment readingOrder="0"/>
    </xf>
    <xf borderId="23" fillId="0" fontId="1" numFmtId="0" xfId="0" applyAlignment="1" applyBorder="1" applyFont="1">
      <alignment readingOrder="0"/>
    </xf>
    <xf borderId="22" fillId="0" fontId="1" numFmtId="0" xfId="0" applyAlignment="1" applyBorder="1" applyFont="1">
      <alignment readingOrder="0"/>
    </xf>
    <xf borderId="24" fillId="0" fontId="4" numFmtId="0" xfId="0" applyAlignment="1" applyBorder="1" applyFont="1">
      <alignment horizontal="center" readingOrder="0" vertical="center"/>
    </xf>
    <xf borderId="27" fillId="0" fontId="3" numFmtId="0" xfId="0" applyBorder="1" applyFont="1"/>
    <xf borderId="22" fillId="0" fontId="4" numFmtId="0" xfId="0" applyAlignment="1" applyBorder="1" applyFont="1">
      <alignment horizontal="center" readingOrder="0" shrinkToFit="0" wrapText="1"/>
    </xf>
    <xf borderId="19" fillId="0" fontId="1" numFmtId="0" xfId="0" applyBorder="1" applyFont="1"/>
    <xf borderId="32" fillId="0" fontId="1" numFmtId="0" xfId="0" applyAlignment="1" applyBorder="1" applyFont="1">
      <alignment readingOrder="0"/>
    </xf>
    <xf borderId="23" fillId="0" fontId="1" numFmtId="0" xfId="0" applyBorder="1" applyFont="1"/>
    <xf borderId="29" fillId="0" fontId="1" numFmtId="0" xfId="0" applyBorder="1" applyFont="1"/>
    <xf borderId="22" fillId="0" fontId="1" numFmtId="0" xfId="0" applyBorder="1" applyFont="1"/>
    <xf borderId="25" fillId="0" fontId="4" numFmtId="0" xfId="0" applyAlignment="1" applyBorder="1" applyFont="1">
      <alignment horizontal="center" readingOrder="0" vertical="center"/>
    </xf>
    <xf borderId="28" fillId="0" fontId="3" numFmtId="0" xfId="0" applyBorder="1" applyFont="1"/>
    <xf borderId="0" fillId="0" fontId="8" numFmtId="0" xfId="0" applyAlignment="1" applyFont="1">
      <alignment readingOrder="0"/>
    </xf>
    <xf borderId="5" fillId="0" fontId="5" numFmtId="0" xfId="0" applyAlignment="1" applyBorder="1" applyFont="1">
      <alignment vertical="bottom"/>
    </xf>
    <xf borderId="5" fillId="0" fontId="5" numFmtId="0" xfId="0" applyAlignment="1" applyBorder="1" applyFont="1">
      <alignment horizontal="right" vertical="bottom"/>
    </xf>
    <xf borderId="0" fillId="0" fontId="5" numFmtId="0" xfId="0" applyAlignment="1" applyFont="1">
      <alignment horizontal="right" vertical="bottom"/>
    </xf>
    <xf borderId="19" fillId="0" fontId="5" numFmtId="0" xfId="0" applyAlignment="1" applyBorder="1" applyFont="1">
      <alignment vertical="bottom"/>
    </xf>
    <xf borderId="5" fillId="0" fontId="5" numFmtId="0" xfId="0" applyAlignment="1" applyBorder="1" applyFont="1">
      <alignment horizontal="right" vertical="bottom"/>
    </xf>
    <xf borderId="0" fillId="0" fontId="5" numFmtId="0" xfId="0" applyAlignment="1" applyFont="1">
      <alignment horizontal="right" vertical="bottom"/>
    </xf>
    <xf borderId="29" fillId="0" fontId="5" numFmtId="0" xfId="0" applyAlignment="1" applyBorder="1" applyFont="1">
      <alignment vertical="bottom"/>
    </xf>
    <xf borderId="29" fillId="0" fontId="5" numFmtId="0" xfId="0" applyAlignment="1" applyBorder="1" applyFont="1">
      <alignment horizontal="right" vertical="bottom"/>
    </xf>
    <xf borderId="23" fillId="0" fontId="5" numFmtId="0" xfId="0" applyAlignment="1" applyBorder="1" applyFont="1">
      <alignment horizontal="right" vertical="bottom"/>
    </xf>
    <xf borderId="23" fillId="0" fontId="5" numFmtId="0" xfId="0" applyAlignment="1" applyBorder="1" applyFont="1">
      <alignment vertical="bottom"/>
    </xf>
    <xf borderId="22" fillId="0" fontId="5" numFmtId="0" xfId="0" applyAlignment="1" applyBorder="1" applyFont="1">
      <alignment vertical="bottom"/>
    </xf>
    <xf borderId="14" fillId="0" fontId="9" numFmtId="0" xfId="0" applyAlignment="1" applyBorder="1" applyFont="1">
      <alignment horizontal="center" readingOrder="0" vertical="center"/>
    </xf>
    <xf borderId="25" fillId="0" fontId="6" numFmtId="0" xfId="0" applyAlignment="1" applyBorder="1" applyFont="1">
      <alignment horizontal="center" readingOrder="0" shrinkToFit="0" vertical="center" wrapText="1"/>
    </xf>
    <xf borderId="33" fillId="0" fontId="6" numFmtId="0" xfId="0" applyAlignment="1" applyBorder="1" applyFont="1">
      <alignment horizontal="center" readingOrder="0" shrinkToFit="0" vertical="center" wrapText="1"/>
    </xf>
    <xf borderId="34" fillId="0" fontId="3" numFmtId="0" xfId="0" applyBorder="1" applyFont="1"/>
    <xf borderId="19" fillId="0" fontId="5" numFmtId="0" xfId="0" applyAlignment="1" applyBorder="1" applyFont="1">
      <alignment horizontal="right" vertical="bottom"/>
    </xf>
    <xf borderId="19" fillId="0" fontId="5" numFmtId="0" xfId="0" applyAlignment="1" applyBorder="1" applyFont="1">
      <alignment horizontal="right" vertical="bottom"/>
    </xf>
    <xf borderId="19" fillId="0" fontId="5" numFmtId="0" xfId="0" applyAlignment="1" applyBorder="1" applyFont="1">
      <alignment horizontal="right" readingOrder="0" vertical="bottom"/>
    </xf>
    <xf borderId="29" fillId="0" fontId="5" numFmtId="0" xfId="0" applyAlignment="1" applyBorder="1" applyFont="1">
      <alignment vertical="bottom"/>
    </xf>
    <xf borderId="22" fillId="0" fontId="5" numFmtId="0" xfId="0" applyAlignment="1" applyBorder="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aster 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1" displayName="Master_Sheet" name="Master_Sheet" id="1">
  <tableColumns count="8">
    <tableColumn name="Background ID" id="1"/>
    <tableColumn name="Map ID" id="2"/>
    <tableColumn name="Overworld Area" id="3"/>
    <tableColumn name="Needs a Background?" id="4"/>
    <tableColumn name="Background Status" id="5"/>
    <tableColumn name="Hardware Status" id="6"/>
    <tableColumn name="Background Author(s)" id="7"/>
    <tableColumn name="Notes on Peaches" id="8"/>
  </tableColumns>
  <tableStyleInfo name="Master 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4.25"/>
    <col customWidth="1" min="3" max="3" width="23.63"/>
    <col customWidth="1" min="4" max="4" width="19.75"/>
    <col customWidth="1" min="5" max="5" width="22.88"/>
    <col customWidth="1" min="6" max="6" width="22.63"/>
    <col customWidth="1" min="7" max="7" width="29.63"/>
    <col customWidth="1" min="8" max="8" width="41.88"/>
  </cols>
  <sheetData>
    <row r="1" ht="22.5" customHeight="1">
      <c r="A1" s="1" t="s">
        <v>0</v>
      </c>
      <c r="B1" s="2" t="s">
        <v>1</v>
      </c>
      <c r="C1" s="2" t="s">
        <v>2</v>
      </c>
      <c r="D1" s="2" t="s">
        <v>3</v>
      </c>
      <c r="E1" s="2" t="s">
        <v>4</v>
      </c>
      <c r="F1" s="2" t="s">
        <v>5</v>
      </c>
      <c r="G1" s="3" t="s">
        <v>6</v>
      </c>
      <c r="H1" s="2" t="s">
        <v>7</v>
      </c>
    </row>
    <row r="2" ht="22.5" customHeight="1">
      <c r="A2" s="4" t="s">
        <v>8</v>
      </c>
      <c r="B2" s="5"/>
      <c r="C2" s="6" t="s">
        <v>9</v>
      </c>
      <c r="D2" s="7" t="b">
        <v>1</v>
      </c>
      <c r="E2" s="8" t="s">
        <v>10</v>
      </c>
      <c r="F2" s="8" t="s">
        <v>11</v>
      </c>
      <c r="G2" s="9" t="s">
        <v>12</v>
      </c>
      <c r="H2" s="10" t="s">
        <v>13</v>
      </c>
    </row>
    <row r="3" ht="22.5" customHeight="1">
      <c r="A3" s="4" t="s">
        <v>14</v>
      </c>
      <c r="B3" s="5"/>
      <c r="C3" s="6" t="s">
        <v>15</v>
      </c>
      <c r="D3" s="7" t="b">
        <v>1</v>
      </c>
      <c r="E3" s="8" t="s">
        <v>10</v>
      </c>
      <c r="F3" s="8" t="s">
        <v>11</v>
      </c>
      <c r="G3" s="9" t="s">
        <v>12</v>
      </c>
      <c r="H3" s="10" t="s">
        <v>16</v>
      </c>
    </row>
    <row r="4" ht="22.5" customHeight="1">
      <c r="A4" s="4" t="s">
        <v>17</v>
      </c>
      <c r="B4" s="5"/>
      <c r="C4" s="6" t="s">
        <v>18</v>
      </c>
      <c r="D4" s="7" t="b">
        <v>1</v>
      </c>
      <c r="E4" s="8" t="s">
        <v>10</v>
      </c>
      <c r="F4" s="8" t="s">
        <v>11</v>
      </c>
      <c r="G4" s="9" t="s">
        <v>12</v>
      </c>
      <c r="H4" s="10" t="s">
        <v>19</v>
      </c>
    </row>
    <row r="5" ht="22.5" customHeight="1">
      <c r="A5" s="4" t="s">
        <v>20</v>
      </c>
      <c r="B5" s="5"/>
      <c r="C5" s="6" t="s">
        <v>21</v>
      </c>
      <c r="D5" s="7" t="b">
        <v>1</v>
      </c>
      <c r="E5" s="8" t="s">
        <v>10</v>
      </c>
      <c r="F5" s="8" t="s">
        <v>11</v>
      </c>
      <c r="G5" s="9" t="s">
        <v>12</v>
      </c>
      <c r="H5" s="10" t="s">
        <v>22</v>
      </c>
    </row>
    <row r="6" ht="22.5" customHeight="1">
      <c r="A6" s="4" t="s">
        <v>23</v>
      </c>
      <c r="B6" s="5"/>
      <c r="C6" s="6" t="s">
        <v>24</v>
      </c>
      <c r="D6" s="7" t="b">
        <v>1</v>
      </c>
      <c r="E6" s="8" t="s">
        <v>10</v>
      </c>
      <c r="F6" s="8" t="s">
        <v>11</v>
      </c>
      <c r="G6" s="9" t="s">
        <v>12</v>
      </c>
      <c r="H6" s="10" t="s">
        <v>25</v>
      </c>
    </row>
    <row r="7" ht="22.5" customHeight="1">
      <c r="A7" s="4" t="s">
        <v>26</v>
      </c>
      <c r="B7" s="5"/>
      <c r="C7" s="6" t="s">
        <v>27</v>
      </c>
      <c r="D7" s="7" t="b">
        <v>1</v>
      </c>
      <c r="E7" s="8" t="s">
        <v>10</v>
      </c>
      <c r="F7" s="8" t="s">
        <v>11</v>
      </c>
      <c r="G7" s="9" t="s">
        <v>12</v>
      </c>
      <c r="H7" s="10" t="s">
        <v>28</v>
      </c>
    </row>
    <row r="8" ht="22.5" customHeight="1">
      <c r="A8" s="4" t="s">
        <v>29</v>
      </c>
      <c r="B8" s="5"/>
      <c r="C8" s="6" t="s">
        <v>30</v>
      </c>
      <c r="D8" s="7" t="b">
        <v>1</v>
      </c>
      <c r="E8" s="8" t="s">
        <v>10</v>
      </c>
      <c r="F8" s="8" t="s">
        <v>11</v>
      </c>
      <c r="G8" s="9" t="s">
        <v>12</v>
      </c>
      <c r="H8" s="10" t="s">
        <v>31</v>
      </c>
    </row>
    <row r="9" ht="22.5" customHeight="1">
      <c r="A9" s="4" t="s">
        <v>32</v>
      </c>
      <c r="B9" s="5"/>
      <c r="C9" s="6" t="s">
        <v>33</v>
      </c>
      <c r="D9" s="7" t="b">
        <v>1</v>
      </c>
      <c r="E9" s="8" t="s">
        <v>10</v>
      </c>
      <c r="F9" s="8" t="s">
        <v>11</v>
      </c>
      <c r="G9" s="9" t="s">
        <v>12</v>
      </c>
      <c r="H9" s="10" t="s">
        <v>34</v>
      </c>
    </row>
    <row r="10" ht="22.5" customHeight="1">
      <c r="A10" s="4" t="s">
        <v>35</v>
      </c>
      <c r="B10" s="5"/>
      <c r="C10" s="6" t="s">
        <v>36</v>
      </c>
      <c r="D10" s="7" t="b">
        <v>1</v>
      </c>
      <c r="E10" s="8" t="s">
        <v>10</v>
      </c>
      <c r="F10" s="8" t="s">
        <v>11</v>
      </c>
      <c r="G10" s="9" t="s">
        <v>12</v>
      </c>
      <c r="H10" s="10" t="s">
        <v>37</v>
      </c>
    </row>
    <row r="11" ht="22.5" customHeight="1">
      <c r="A11" s="4" t="s">
        <v>38</v>
      </c>
      <c r="B11" s="5"/>
      <c r="C11" s="6" t="s">
        <v>39</v>
      </c>
      <c r="D11" s="7" t="b">
        <v>1</v>
      </c>
      <c r="E11" s="8" t="s">
        <v>10</v>
      </c>
      <c r="F11" s="8" t="s">
        <v>11</v>
      </c>
      <c r="G11" s="9" t="s">
        <v>12</v>
      </c>
      <c r="H11" s="10" t="s">
        <v>40</v>
      </c>
    </row>
    <row r="12" ht="22.5" customHeight="1">
      <c r="A12" s="4" t="s">
        <v>41</v>
      </c>
      <c r="B12" s="5"/>
      <c r="C12" s="6" t="s">
        <v>42</v>
      </c>
      <c r="D12" s="7" t="b">
        <v>1</v>
      </c>
      <c r="E12" s="8" t="s">
        <v>10</v>
      </c>
      <c r="F12" s="8" t="s">
        <v>11</v>
      </c>
      <c r="G12" s="9" t="s">
        <v>12</v>
      </c>
      <c r="H12" s="10" t="s">
        <v>43</v>
      </c>
    </row>
    <row r="13" ht="22.5" customHeight="1">
      <c r="A13" s="4" t="s">
        <v>44</v>
      </c>
      <c r="B13" s="5"/>
      <c r="C13" s="6" t="s">
        <v>45</v>
      </c>
      <c r="D13" s="7" t="b">
        <v>1</v>
      </c>
      <c r="E13" s="8" t="s">
        <v>10</v>
      </c>
      <c r="F13" s="8" t="s">
        <v>11</v>
      </c>
      <c r="G13" s="9" t="s">
        <v>12</v>
      </c>
      <c r="H13" s="10" t="s">
        <v>46</v>
      </c>
    </row>
    <row r="14" ht="22.5" customHeight="1">
      <c r="A14" s="4" t="s">
        <v>47</v>
      </c>
      <c r="B14" s="5"/>
      <c r="C14" s="6" t="s">
        <v>48</v>
      </c>
      <c r="D14" s="7" t="b">
        <v>1</v>
      </c>
      <c r="E14" s="8" t="s">
        <v>10</v>
      </c>
      <c r="F14" s="8" t="s">
        <v>49</v>
      </c>
      <c r="G14" s="9" t="s">
        <v>12</v>
      </c>
      <c r="H14" s="10" t="s">
        <v>50</v>
      </c>
    </row>
    <row r="15" ht="22.5" customHeight="1">
      <c r="A15" s="4" t="s">
        <v>51</v>
      </c>
      <c r="B15" s="5"/>
      <c r="C15" s="6" t="s">
        <v>52</v>
      </c>
      <c r="D15" s="7" t="b">
        <v>1</v>
      </c>
      <c r="E15" s="8" t="s">
        <v>10</v>
      </c>
      <c r="F15" s="8" t="s">
        <v>49</v>
      </c>
      <c r="G15" s="9" t="s">
        <v>12</v>
      </c>
      <c r="H15" s="10" t="s">
        <v>53</v>
      </c>
    </row>
    <row r="16" ht="22.5" customHeight="1">
      <c r="A16" s="4" t="s">
        <v>54</v>
      </c>
      <c r="B16" s="5"/>
      <c r="C16" s="6" t="s">
        <v>55</v>
      </c>
      <c r="D16" s="7" t="b">
        <v>1</v>
      </c>
      <c r="E16" s="8" t="s">
        <v>10</v>
      </c>
      <c r="F16" s="8" t="s">
        <v>49</v>
      </c>
      <c r="G16" s="9" t="s">
        <v>12</v>
      </c>
      <c r="H16" s="10" t="s">
        <v>56</v>
      </c>
    </row>
    <row r="17" ht="22.5" customHeight="1">
      <c r="A17" s="4" t="s">
        <v>57</v>
      </c>
      <c r="B17" s="5"/>
      <c r="C17" s="6" t="s">
        <v>58</v>
      </c>
      <c r="D17" s="7" t="b">
        <v>1</v>
      </c>
      <c r="E17" s="8" t="s">
        <v>10</v>
      </c>
      <c r="F17" s="8" t="s">
        <v>49</v>
      </c>
      <c r="G17" s="9" t="s">
        <v>12</v>
      </c>
      <c r="H17" s="10" t="s">
        <v>56</v>
      </c>
    </row>
    <row r="18" ht="22.5" customHeight="1">
      <c r="A18" s="4" t="s">
        <v>59</v>
      </c>
      <c r="B18" s="5"/>
      <c r="C18" s="6" t="s">
        <v>60</v>
      </c>
      <c r="D18" s="7" t="b">
        <v>1</v>
      </c>
      <c r="E18" s="8" t="s">
        <v>10</v>
      </c>
      <c r="F18" s="8" t="s">
        <v>11</v>
      </c>
      <c r="G18" s="9" t="s">
        <v>12</v>
      </c>
      <c r="H18" s="10" t="s">
        <v>61</v>
      </c>
    </row>
    <row r="19" ht="22.5" customHeight="1">
      <c r="A19" s="4" t="s">
        <v>62</v>
      </c>
      <c r="B19" s="5"/>
      <c r="C19" s="6" t="s">
        <v>63</v>
      </c>
      <c r="D19" s="7" t="b">
        <v>1</v>
      </c>
      <c r="E19" s="8" t="s">
        <v>10</v>
      </c>
      <c r="F19" s="8" t="s">
        <v>11</v>
      </c>
      <c r="G19" s="9" t="s">
        <v>12</v>
      </c>
      <c r="H19" s="10" t="s">
        <v>64</v>
      </c>
    </row>
    <row r="20" ht="22.5" customHeight="1">
      <c r="A20" s="4" t="s">
        <v>65</v>
      </c>
      <c r="B20" s="5"/>
      <c r="C20" s="6" t="s">
        <v>66</v>
      </c>
      <c r="D20" s="7" t="b">
        <v>1</v>
      </c>
      <c r="E20" s="8" t="s">
        <v>10</v>
      </c>
      <c r="F20" s="8" t="s">
        <v>11</v>
      </c>
      <c r="G20" s="9" t="s">
        <v>12</v>
      </c>
      <c r="H20" s="10" t="s">
        <v>67</v>
      </c>
    </row>
    <row r="21" ht="22.5" customHeight="1">
      <c r="A21" s="4" t="s">
        <v>68</v>
      </c>
      <c r="B21" s="5"/>
      <c r="C21" s="6" t="s">
        <v>69</v>
      </c>
      <c r="D21" s="7" t="b">
        <v>1</v>
      </c>
      <c r="E21" s="8" t="s">
        <v>10</v>
      </c>
      <c r="F21" s="8" t="s">
        <v>49</v>
      </c>
      <c r="G21" s="9" t="s">
        <v>12</v>
      </c>
      <c r="H21" s="10" t="s">
        <v>70</v>
      </c>
    </row>
    <row r="22" ht="22.5" customHeight="1">
      <c r="A22" s="4" t="s">
        <v>71</v>
      </c>
      <c r="B22" s="5"/>
      <c r="C22" s="6" t="s">
        <v>72</v>
      </c>
      <c r="D22" s="7" t="b">
        <v>1</v>
      </c>
      <c r="E22" s="8" t="s">
        <v>10</v>
      </c>
      <c r="F22" s="8" t="s">
        <v>49</v>
      </c>
      <c r="G22" s="9" t="s">
        <v>12</v>
      </c>
      <c r="H22" s="10" t="s">
        <v>73</v>
      </c>
    </row>
    <row r="23" ht="22.5" customHeight="1">
      <c r="A23" s="4" t="s">
        <v>74</v>
      </c>
      <c r="B23" s="5"/>
      <c r="C23" s="6" t="s">
        <v>75</v>
      </c>
      <c r="D23" s="7" t="b">
        <v>1</v>
      </c>
      <c r="E23" s="8" t="s">
        <v>10</v>
      </c>
      <c r="F23" s="8" t="s">
        <v>49</v>
      </c>
      <c r="G23" s="9" t="s">
        <v>12</v>
      </c>
      <c r="H23" s="10" t="s">
        <v>76</v>
      </c>
    </row>
    <row r="24" ht="22.5" customHeight="1">
      <c r="A24" s="4" t="s">
        <v>77</v>
      </c>
      <c r="B24" s="5"/>
      <c r="C24" s="6" t="s">
        <v>78</v>
      </c>
      <c r="D24" s="7" t="b">
        <v>1</v>
      </c>
      <c r="E24" s="8" t="s">
        <v>10</v>
      </c>
      <c r="F24" s="8" t="s">
        <v>49</v>
      </c>
      <c r="G24" s="9" t="s">
        <v>12</v>
      </c>
      <c r="H24" s="10" t="s">
        <v>79</v>
      </c>
    </row>
    <row r="25" ht="22.5" customHeight="1">
      <c r="A25" s="4" t="s">
        <v>80</v>
      </c>
      <c r="B25" s="5"/>
      <c r="C25" s="6" t="s">
        <v>81</v>
      </c>
      <c r="D25" s="7" t="b">
        <v>1</v>
      </c>
      <c r="E25" s="8" t="s">
        <v>10</v>
      </c>
      <c r="F25" s="8" t="s">
        <v>49</v>
      </c>
      <c r="G25" s="9" t="s">
        <v>12</v>
      </c>
      <c r="H25" s="10" t="s">
        <v>82</v>
      </c>
    </row>
    <row r="26" ht="22.5" customHeight="1">
      <c r="A26" s="4" t="s">
        <v>83</v>
      </c>
      <c r="B26" s="5"/>
      <c r="C26" s="6" t="s">
        <v>84</v>
      </c>
      <c r="D26" s="7" t="b">
        <v>1</v>
      </c>
      <c r="E26" s="8" t="s">
        <v>10</v>
      </c>
      <c r="F26" s="8" t="s">
        <v>49</v>
      </c>
      <c r="G26" s="9" t="s">
        <v>12</v>
      </c>
      <c r="H26" s="10" t="s">
        <v>85</v>
      </c>
    </row>
    <row r="27" ht="22.5" customHeight="1">
      <c r="A27" s="4" t="s">
        <v>86</v>
      </c>
      <c r="B27" s="5"/>
      <c r="C27" s="6" t="s">
        <v>87</v>
      </c>
      <c r="D27" s="7" t="b">
        <v>1</v>
      </c>
      <c r="E27" s="8" t="s">
        <v>10</v>
      </c>
      <c r="F27" s="8" t="s">
        <v>49</v>
      </c>
      <c r="G27" s="9" t="s">
        <v>12</v>
      </c>
      <c r="H27" s="10" t="s">
        <v>88</v>
      </c>
    </row>
    <row r="28" ht="22.5" customHeight="1">
      <c r="A28" s="4" t="s">
        <v>89</v>
      </c>
      <c r="B28" s="5"/>
      <c r="C28" s="6" t="s">
        <v>90</v>
      </c>
      <c r="D28" s="7" t="b">
        <v>1</v>
      </c>
      <c r="E28" s="8" t="s">
        <v>10</v>
      </c>
      <c r="F28" s="8" t="s">
        <v>49</v>
      </c>
      <c r="G28" s="9" t="s">
        <v>12</v>
      </c>
      <c r="H28" s="10" t="s">
        <v>91</v>
      </c>
    </row>
    <row r="29" ht="22.5" customHeight="1">
      <c r="A29" s="4" t="s">
        <v>92</v>
      </c>
      <c r="B29" s="5"/>
      <c r="C29" s="6" t="s">
        <v>93</v>
      </c>
      <c r="D29" s="7" t="b">
        <v>1</v>
      </c>
      <c r="E29" s="8" t="s">
        <v>10</v>
      </c>
      <c r="F29" s="8" t="s">
        <v>49</v>
      </c>
      <c r="G29" s="9" t="s">
        <v>12</v>
      </c>
      <c r="H29" s="10" t="s">
        <v>94</v>
      </c>
    </row>
    <row r="30" ht="22.5" customHeight="1">
      <c r="A30" s="4" t="s">
        <v>95</v>
      </c>
      <c r="B30" s="5"/>
      <c r="C30" s="6" t="s">
        <v>96</v>
      </c>
      <c r="D30" s="7" t="b">
        <v>1</v>
      </c>
      <c r="E30" s="8" t="s">
        <v>10</v>
      </c>
      <c r="F30" s="8" t="s">
        <v>49</v>
      </c>
      <c r="G30" s="9" t="s">
        <v>12</v>
      </c>
      <c r="H30" s="10" t="s">
        <v>97</v>
      </c>
    </row>
    <row r="31" ht="22.5" customHeight="1">
      <c r="A31" s="4" t="s">
        <v>98</v>
      </c>
      <c r="B31" s="5"/>
      <c r="C31" s="6" t="s">
        <v>99</v>
      </c>
      <c r="D31" s="7" t="b">
        <v>1</v>
      </c>
      <c r="E31" s="8" t="s">
        <v>10</v>
      </c>
      <c r="F31" s="8" t="s">
        <v>49</v>
      </c>
      <c r="G31" s="9" t="s">
        <v>12</v>
      </c>
      <c r="H31" s="10" t="s">
        <v>100</v>
      </c>
    </row>
    <row r="32" ht="22.5" customHeight="1">
      <c r="A32" s="4" t="s">
        <v>101</v>
      </c>
      <c r="B32" s="5"/>
      <c r="C32" s="6" t="s">
        <v>102</v>
      </c>
      <c r="D32" s="7" t="b">
        <v>1</v>
      </c>
      <c r="E32" s="8" t="s">
        <v>10</v>
      </c>
      <c r="F32" s="8" t="s">
        <v>49</v>
      </c>
      <c r="G32" s="9" t="s">
        <v>12</v>
      </c>
      <c r="H32" s="10" t="s">
        <v>100</v>
      </c>
    </row>
    <row r="33" ht="22.5" customHeight="1">
      <c r="A33" s="4" t="s">
        <v>103</v>
      </c>
      <c r="B33" s="5"/>
      <c r="C33" s="6" t="s">
        <v>104</v>
      </c>
      <c r="D33" s="7" t="b">
        <v>1</v>
      </c>
      <c r="E33" s="8" t="s">
        <v>10</v>
      </c>
      <c r="F33" s="8" t="s">
        <v>49</v>
      </c>
      <c r="G33" s="9" t="s">
        <v>12</v>
      </c>
      <c r="H33" s="10" t="s">
        <v>100</v>
      </c>
    </row>
    <row r="34" ht="22.5" customHeight="1">
      <c r="A34" s="4" t="s">
        <v>105</v>
      </c>
      <c r="B34" s="5"/>
      <c r="C34" s="6" t="s">
        <v>106</v>
      </c>
      <c r="D34" s="7" t="b">
        <v>1</v>
      </c>
      <c r="E34" s="8" t="s">
        <v>10</v>
      </c>
      <c r="F34" s="8" t="s">
        <v>11</v>
      </c>
      <c r="G34" s="9" t="s">
        <v>12</v>
      </c>
      <c r="H34" s="10" t="s">
        <v>107</v>
      </c>
    </row>
    <row r="35" ht="22.5" customHeight="1">
      <c r="A35" s="4" t="s">
        <v>108</v>
      </c>
      <c r="B35" s="5"/>
      <c r="C35" s="6" t="s">
        <v>109</v>
      </c>
      <c r="D35" s="7" t="b">
        <v>1</v>
      </c>
      <c r="E35" s="8" t="s">
        <v>10</v>
      </c>
      <c r="F35" s="8" t="s">
        <v>49</v>
      </c>
      <c r="G35" s="9" t="s">
        <v>12</v>
      </c>
      <c r="H35" s="10" t="s">
        <v>110</v>
      </c>
    </row>
    <row r="36" ht="22.5" customHeight="1">
      <c r="A36" s="4" t="s">
        <v>111</v>
      </c>
      <c r="B36" s="5"/>
      <c r="C36" s="6" t="s">
        <v>112</v>
      </c>
      <c r="D36" s="7" t="b">
        <v>1</v>
      </c>
      <c r="E36" s="8" t="s">
        <v>10</v>
      </c>
      <c r="F36" s="8" t="s">
        <v>11</v>
      </c>
      <c r="G36" s="9" t="s">
        <v>12</v>
      </c>
      <c r="H36" s="10" t="s">
        <v>113</v>
      </c>
    </row>
    <row r="37" ht="22.5" customHeight="1">
      <c r="A37" s="4" t="s">
        <v>114</v>
      </c>
      <c r="B37" s="5"/>
      <c r="C37" s="6" t="s">
        <v>115</v>
      </c>
      <c r="D37" s="7" t="b">
        <v>1</v>
      </c>
      <c r="E37" s="8" t="s">
        <v>10</v>
      </c>
      <c r="F37" s="8" t="s">
        <v>49</v>
      </c>
      <c r="G37" s="9" t="s">
        <v>12</v>
      </c>
      <c r="H37" s="10" t="s">
        <v>116</v>
      </c>
    </row>
    <row r="38" ht="22.5" customHeight="1">
      <c r="A38" s="4" t="s">
        <v>117</v>
      </c>
      <c r="B38" s="5"/>
      <c r="C38" s="6" t="s">
        <v>118</v>
      </c>
      <c r="D38" s="7" t="b">
        <v>1</v>
      </c>
      <c r="E38" s="8" t="s">
        <v>10</v>
      </c>
      <c r="F38" s="8" t="s">
        <v>49</v>
      </c>
      <c r="G38" s="9" t="s">
        <v>12</v>
      </c>
      <c r="H38" s="10" t="s">
        <v>119</v>
      </c>
    </row>
    <row r="39" ht="22.5" customHeight="1">
      <c r="A39" s="4" t="s">
        <v>120</v>
      </c>
      <c r="B39" s="5"/>
      <c r="C39" s="6" t="s">
        <v>121</v>
      </c>
      <c r="D39" s="7" t="b">
        <v>1</v>
      </c>
      <c r="E39" s="8" t="s">
        <v>10</v>
      </c>
      <c r="F39" s="8" t="s">
        <v>49</v>
      </c>
      <c r="G39" s="9" t="s">
        <v>12</v>
      </c>
      <c r="H39" s="10" t="s">
        <v>122</v>
      </c>
    </row>
    <row r="40" ht="22.5" customHeight="1">
      <c r="A40" s="4" t="s">
        <v>123</v>
      </c>
      <c r="B40" s="5"/>
      <c r="C40" s="6" t="s">
        <v>124</v>
      </c>
      <c r="D40" s="7" t="b">
        <v>1</v>
      </c>
      <c r="E40" s="8" t="s">
        <v>10</v>
      </c>
      <c r="F40" s="8" t="s">
        <v>11</v>
      </c>
      <c r="G40" s="9" t="s">
        <v>12</v>
      </c>
      <c r="H40" s="10" t="s">
        <v>125</v>
      </c>
    </row>
    <row r="41" ht="22.5" customHeight="1">
      <c r="A41" s="4" t="s">
        <v>126</v>
      </c>
      <c r="B41" s="5"/>
      <c r="C41" s="6" t="s">
        <v>127</v>
      </c>
      <c r="D41" s="7" t="b">
        <v>1</v>
      </c>
      <c r="E41" s="8" t="s">
        <v>10</v>
      </c>
      <c r="F41" s="8" t="s">
        <v>128</v>
      </c>
      <c r="G41" s="9" t="s">
        <v>12</v>
      </c>
      <c r="H41" s="10"/>
    </row>
    <row r="42" ht="22.5" customHeight="1">
      <c r="A42" s="4" t="s">
        <v>129</v>
      </c>
      <c r="B42" s="5"/>
      <c r="C42" s="6" t="s">
        <v>130</v>
      </c>
      <c r="D42" s="7" t="b">
        <v>1</v>
      </c>
      <c r="E42" s="8" t="s">
        <v>10</v>
      </c>
      <c r="F42" s="8" t="s">
        <v>11</v>
      </c>
      <c r="G42" s="9" t="s">
        <v>12</v>
      </c>
      <c r="H42" s="10" t="s">
        <v>131</v>
      </c>
    </row>
    <row r="43" ht="22.5" customHeight="1">
      <c r="A43" s="4" t="s">
        <v>132</v>
      </c>
      <c r="B43" s="5"/>
      <c r="C43" s="6" t="s">
        <v>133</v>
      </c>
      <c r="D43" s="7" t="b">
        <v>1</v>
      </c>
      <c r="E43" s="8" t="s">
        <v>10</v>
      </c>
      <c r="F43" s="8" t="s">
        <v>11</v>
      </c>
      <c r="G43" s="9" t="s">
        <v>12</v>
      </c>
      <c r="H43" s="10" t="s">
        <v>134</v>
      </c>
    </row>
    <row r="44" ht="22.5" customHeight="1">
      <c r="A44" s="4" t="s">
        <v>135</v>
      </c>
      <c r="B44" s="5"/>
      <c r="C44" s="6" t="s">
        <v>136</v>
      </c>
      <c r="D44" s="7" t="b">
        <v>1</v>
      </c>
      <c r="E44" s="8" t="s">
        <v>10</v>
      </c>
      <c r="F44" s="8" t="s">
        <v>49</v>
      </c>
      <c r="G44" s="9" t="s">
        <v>12</v>
      </c>
      <c r="H44" s="10" t="s">
        <v>137</v>
      </c>
    </row>
    <row r="45" ht="22.5" customHeight="1">
      <c r="A45" s="4" t="s">
        <v>138</v>
      </c>
      <c r="B45" s="5"/>
      <c r="C45" s="6" t="s">
        <v>139</v>
      </c>
      <c r="D45" s="7" t="b">
        <v>1</v>
      </c>
      <c r="E45" s="8" t="s">
        <v>10</v>
      </c>
      <c r="F45" s="8" t="s">
        <v>11</v>
      </c>
      <c r="G45" s="9" t="s">
        <v>12</v>
      </c>
      <c r="H45" s="10" t="s">
        <v>140</v>
      </c>
    </row>
    <row r="46" ht="22.5" customHeight="1">
      <c r="A46" s="4" t="s">
        <v>141</v>
      </c>
      <c r="B46" s="5"/>
      <c r="C46" s="6" t="s">
        <v>142</v>
      </c>
      <c r="D46" s="7" t="b">
        <v>1</v>
      </c>
      <c r="E46" s="8" t="s">
        <v>10</v>
      </c>
      <c r="F46" s="8" t="s">
        <v>11</v>
      </c>
      <c r="G46" s="9" t="s">
        <v>12</v>
      </c>
      <c r="H46" s="10" t="s">
        <v>143</v>
      </c>
    </row>
    <row r="47" ht="22.5" customHeight="1">
      <c r="A47" s="4" t="s">
        <v>144</v>
      </c>
      <c r="B47" s="5"/>
      <c r="C47" s="6" t="s">
        <v>145</v>
      </c>
      <c r="D47" s="7" t="b">
        <v>1</v>
      </c>
      <c r="E47" s="8" t="s">
        <v>10</v>
      </c>
      <c r="F47" s="8" t="s">
        <v>11</v>
      </c>
      <c r="G47" s="9" t="s">
        <v>12</v>
      </c>
      <c r="H47" s="10" t="s">
        <v>146</v>
      </c>
    </row>
    <row r="48" ht="22.5" customHeight="1">
      <c r="A48" s="4" t="s">
        <v>147</v>
      </c>
      <c r="B48" s="5"/>
      <c r="C48" s="6" t="s">
        <v>148</v>
      </c>
      <c r="D48" s="7" t="b">
        <v>1</v>
      </c>
      <c r="E48" s="8" t="s">
        <v>10</v>
      </c>
      <c r="F48" s="8" t="s">
        <v>128</v>
      </c>
      <c r="G48" s="9" t="s">
        <v>12</v>
      </c>
      <c r="H48" s="10"/>
    </row>
    <row r="49" ht="22.5" customHeight="1">
      <c r="A49" s="4" t="s">
        <v>149</v>
      </c>
      <c r="B49" s="5"/>
      <c r="C49" s="6" t="s">
        <v>150</v>
      </c>
      <c r="D49" s="7" t="b">
        <v>1</v>
      </c>
      <c r="E49" s="8" t="s">
        <v>10</v>
      </c>
      <c r="F49" s="8" t="s">
        <v>128</v>
      </c>
      <c r="G49" s="9" t="s">
        <v>12</v>
      </c>
      <c r="H49" s="10"/>
    </row>
    <row r="50" ht="22.5" customHeight="1">
      <c r="A50" s="4" t="s">
        <v>151</v>
      </c>
      <c r="B50" s="5"/>
      <c r="C50" s="6" t="s">
        <v>152</v>
      </c>
      <c r="D50" s="7" t="b">
        <v>1</v>
      </c>
      <c r="E50" s="8" t="s">
        <v>10</v>
      </c>
      <c r="F50" s="8" t="s">
        <v>49</v>
      </c>
      <c r="G50" s="9" t="s">
        <v>12</v>
      </c>
      <c r="H50" s="10" t="s">
        <v>153</v>
      </c>
    </row>
    <row r="51" ht="22.5" customHeight="1">
      <c r="A51" s="4" t="s">
        <v>154</v>
      </c>
      <c r="B51" s="5"/>
      <c r="C51" s="6" t="s">
        <v>155</v>
      </c>
      <c r="D51" s="7" t="b">
        <v>1</v>
      </c>
      <c r="E51" s="8" t="s">
        <v>10</v>
      </c>
      <c r="F51" s="8" t="s">
        <v>11</v>
      </c>
      <c r="G51" s="9" t="s">
        <v>12</v>
      </c>
      <c r="H51" s="10" t="s">
        <v>156</v>
      </c>
    </row>
    <row r="52" ht="22.5" customHeight="1">
      <c r="A52" s="4" t="s">
        <v>157</v>
      </c>
      <c r="B52" s="5"/>
      <c r="C52" s="6" t="s">
        <v>158</v>
      </c>
      <c r="D52" s="7" t="b">
        <v>1</v>
      </c>
      <c r="E52" s="8" t="s">
        <v>10</v>
      </c>
      <c r="F52" s="8" t="s">
        <v>11</v>
      </c>
      <c r="G52" s="9" t="s">
        <v>12</v>
      </c>
      <c r="H52" s="10" t="s">
        <v>159</v>
      </c>
    </row>
    <row r="53" ht="22.5" customHeight="1">
      <c r="A53" s="4" t="s">
        <v>160</v>
      </c>
      <c r="B53" s="5"/>
      <c r="C53" s="6" t="s">
        <v>161</v>
      </c>
      <c r="D53" s="7" t="b">
        <v>1</v>
      </c>
      <c r="E53" s="8" t="s">
        <v>10</v>
      </c>
      <c r="F53" s="8" t="s">
        <v>49</v>
      </c>
      <c r="G53" s="9" t="s">
        <v>12</v>
      </c>
      <c r="H53" s="10" t="s">
        <v>162</v>
      </c>
    </row>
    <row r="54" ht="22.5" customHeight="1">
      <c r="A54" s="4" t="s">
        <v>163</v>
      </c>
      <c r="B54" s="5"/>
      <c r="C54" s="6" t="s">
        <v>164</v>
      </c>
      <c r="D54" s="7" t="b">
        <v>1</v>
      </c>
      <c r="E54" s="8" t="s">
        <v>10</v>
      </c>
      <c r="F54" s="8" t="s">
        <v>11</v>
      </c>
      <c r="G54" s="9" t="s">
        <v>12</v>
      </c>
      <c r="H54" s="10" t="s">
        <v>165</v>
      </c>
    </row>
    <row r="55" ht="22.5" customHeight="1">
      <c r="A55" s="4" t="s">
        <v>166</v>
      </c>
      <c r="B55" s="5"/>
      <c r="C55" s="6" t="s">
        <v>167</v>
      </c>
      <c r="D55" s="7" t="b">
        <v>0</v>
      </c>
      <c r="E55" s="8" t="s">
        <v>168</v>
      </c>
      <c r="F55" s="8" t="s">
        <v>169</v>
      </c>
      <c r="G55" s="9" t="s">
        <v>12</v>
      </c>
      <c r="H55" s="10" t="s">
        <v>170</v>
      </c>
    </row>
    <row r="56" ht="22.5" customHeight="1">
      <c r="A56" s="4" t="s">
        <v>171</v>
      </c>
      <c r="B56" s="5"/>
      <c r="C56" s="6" t="s">
        <v>172</v>
      </c>
      <c r="D56" s="7" t="b">
        <v>1</v>
      </c>
      <c r="E56" s="8" t="s">
        <v>10</v>
      </c>
      <c r="F56" s="8" t="s">
        <v>49</v>
      </c>
      <c r="G56" s="9" t="s">
        <v>12</v>
      </c>
      <c r="H56" s="10" t="s">
        <v>173</v>
      </c>
    </row>
    <row r="57" ht="22.5" customHeight="1">
      <c r="A57" s="4" t="s">
        <v>174</v>
      </c>
      <c r="B57" s="5"/>
      <c r="C57" s="6" t="s">
        <v>175</v>
      </c>
      <c r="D57" s="7" t="b">
        <v>1</v>
      </c>
      <c r="E57" s="8" t="s">
        <v>10</v>
      </c>
      <c r="F57" s="8" t="s">
        <v>49</v>
      </c>
      <c r="G57" s="9" t="s">
        <v>12</v>
      </c>
      <c r="H57" s="10" t="s">
        <v>176</v>
      </c>
    </row>
    <row r="58" ht="22.5" customHeight="1">
      <c r="A58" s="4" t="s">
        <v>177</v>
      </c>
      <c r="B58" s="5"/>
      <c r="C58" s="6" t="s">
        <v>178</v>
      </c>
      <c r="D58" s="7" t="b">
        <v>1</v>
      </c>
      <c r="E58" s="8" t="s">
        <v>10</v>
      </c>
      <c r="F58" s="8" t="s">
        <v>11</v>
      </c>
      <c r="G58" s="9" t="s">
        <v>12</v>
      </c>
      <c r="H58" s="10" t="s">
        <v>179</v>
      </c>
    </row>
    <row r="59" ht="22.5" customHeight="1">
      <c r="A59" s="4" t="s">
        <v>180</v>
      </c>
      <c r="B59" s="5"/>
      <c r="C59" s="6" t="s">
        <v>181</v>
      </c>
      <c r="D59" s="7" t="b">
        <v>1</v>
      </c>
      <c r="E59" s="8" t="s">
        <v>10</v>
      </c>
      <c r="F59" s="8" t="s">
        <v>11</v>
      </c>
      <c r="G59" s="9" t="s">
        <v>12</v>
      </c>
      <c r="H59" s="10" t="s">
        <v>182</v>
      </c>
    </row>
    <row r="60" ht="22.5" customHeight="1">
      <c r="A60" s="4" t="s">
        <v>183</v>
      </c>
      <c r="B60" s="5"/>
      <c r="C60" s="6" t="s">
        <v>184</v>
      </c>
      <c r="D60" s="7" t="b">
        <v>1</v>
      </c>
      <c r="E60" s="8" t="s">
        <v>10</v>
      </c>
      <c r="F60" s="8" t="s">
        <v>49</v>
      </c>
      <c r="G60" s="9" t="s">
        <v>12</v>
      </c>
      <c r="H60" s="10" t="s">
        <v>185</v>
      </c>
    </row>
    <row r="61" ht="22.5" customHeight="1">
      <c r="A61" s="4" t="s">
        <v>186</v>
      </c>
      <c r="B61" s="5"/>
      <c r="C61" s="6" t="s">
        <v>187</v>
      </c>
      <c r="D61" s="7" t="b">
        <v>1</v>
      </c>
      <c r="E61" s="8" t="s">
        <v>10</v>
      </c>
      <c r="F61" s="8" t="s">
        <v>49</v>
      </c>
      <c r="G61" s="9" t="s">
        <v>12</v>
      </c>
      <c r="H61" s="10" t="s">
        <v>188</v>
      </c>
    </row>
    <row r="62" ht="22.5" customHeight="1">
      <c r="A62" s="4" t="s">
        <v>189</v>
      </c>
      <c r="B62" s="5"/>
      <c r="C62" s="6" t="s">
        <v>190</v>
      </c>
      <c r="D62" s="7" t="b">
        <v>1</v>
      </c>
      <c r="E62" s="8" t="s">
        <v>10</v>
      </c>
      <c r="F62" s="8" t="s">
        <v>49</v>
      </c>
      <c r="G62" s="9" t="s">
        <v>12</v>
      </c>
      <c r="H62" s="10" t="s">
        <v>191</v>
      </c>
    </row>
    <row r="63" ht="22.5" customHeight="1">
      <c r="A63" s="4"/>
      <c r="B63" s="5"/>
      <c r="C63" s="6"/>
      <c r="D63" s="7" t="b">
        <v>0</v>
      </c>
      <c r="E63" s="8"/>
      <c r="F63" s="8"/>
      <c r="G63" s="9"/>
      <c r="H63" s="10"/>
    </row>
    <row r="64" ht="22.5" customHeight="1">
      <c r="A64" s="4"/>
      <c r="B64" s="5"/>
      <c r="C64" s="6"/>
      <c r="D64" s="7" t="b">
        <v>0</v>
      </c>
      <c r="E64" s="8"/>
      <c r="F64" s="8"/>
      <c r="G64" s="9"/>
      <c r="H64" s="10"/>
    </row>
    <row r="65" ht="22.5" customHeight="1">
      <c r="A65" s="4"/>
      <c r="B65" s="5"/>
      <c r="C65" s="6"/>
      <c r="D65" s="7" t="b">
        <v>0</v>
      </c>
      <c r="E65" s="8"/>
      <c r="F65" s="8"/>
      <c r="G65" s="9"/>
      <c r="H65" s="10"/>
    </row>
    <row r="66" ht="22.5" customHeight="1">
      <c r="A66" s="4"/>
      <c r="B66" s="5"/>
      <c r="C66" s="6"/>
      <c r="D66" s="7" t="b">
        <v>0</v>
      </c>
      <c r="E66" s="8"/>
      <c r="F66" s="8"/>
      <c r="G66" s="9"/>
      <c r="H66" s="10"/>
    </row>
    <row r="67" ht="22.5" customHeight="1">
      <c r="A67" s="4"/>
      <c r="B67" s="5"/>
      <c r="C67" s="6"/>
      <c r="D67" s="7" t="b">
        <v>0</v>
      </c>
      <c r="E67" s="8"/>
      <c r="F67" s="8"/>
      <c r="G67" s="9"/>
      <c r="H67" s="10"/>
    </row>
    <row r="68" ht="22.5" customHeight="1">
      <c r="A68" s="4"/>
      <c r="B68" s="5"/>
      <c r="C68" s="6"/>
      <c r="D68" s="7" t="b">
        <v>0</v>
      </c>
      <c r="E68" s="8"/>
      <c r="F68" s="8"/>
      <c r="G68" s="9"/>
      <c r="H68" s="10"/>
    </row>
    <row r="69" ht="22.5" customHeight="1">
      <c r="A69" s="4"/>
      <c r="B69" s="5"/>
      <c r="C69" s="6"/>
      <c r="D69" s="7" t="b">
        <v>0</v>
      </c>
      <c r="E69" s="8"/>
      <c r="F69" s="8"/>
      <c r="G69" s="9"/>
      <c r="H69" s="10"/>
    </row>
    <row r="70" ht="22.5" customHeight="1">
      <c r="A70" s="4"/>
      <c r="B70" s="5"/>
      <c r="C70" s="6"/>
      <c r="D70" s="7" t="b">
        <v>0</v>
      </c>
      <c r="E70" s="8"/>
      <c r="F70" s="8"/>
      <c r="G70" s="9"/>
      <c r="H70" s="10"/>
    </row>
    <row r="71" ht="22.5" customHeight="1">
      <c r="A71" s="4"/>
      <c r="B71" s="5"/>
      <c r="C71" s="6"/>
      <c r="D71" s="7" t="b">
        <v>0</v>
      </c>
      <c r="E71" s="8"/>
      <c r="F71" s="8"/>
      <c r="G71" s="9"/>
      <c r="H71" s="10"/>
    </row>
    <row r="72" ht="22.5" customHeight="1">
      <c r="A72" s="4"/>
      <c r="B72" s="5"/>
      <c r="C72" s="6"/>
      <c r="D72" s="7" t="b">
        <v>0</v>
      </c>
      <c r="E72" s="8"/>
      <c r="F72" s="8"/>
      <c r="G72" s="9"/>
      <c r="H72" s="10"/>
    </row>
    <row r="73" ht="22.5" customHeight="1">
      <c r="A73" s="4"/>
      <c r="B73" s="5"/>
      <c r="C73" s="6"/>
      <c r="D73" s="7" t="b">
        <v>0</v>
      </c>
      <c r="E73" s="8"/>
      <c r="F73" s="8"/>
      <c r="G73" s="9"/>
      <c r="H73" s="10"/>
    </row>
    <row r="74" ht="22.5" customHeight="1">
      <c r="A74" s="4"/>
      <c r="B74" s="5"/>
      <c r="C74" s="6"/>
      <c r="D74" s="7" t="b">
        <v>0</v>
      </c>
      <c r="E74" s="8"/>
      <c r="F74" s="8"/>
      <c r="G74" s="9"/>
      <c r="H74" s="10"/>
    </row>
    <row r="75" ht="22.5" customHeight="1">
      <c r="A75" s="4"/>
      <c r="B75" s="5"/>
      <c r="C75" s="6"/>
      <c r="D75" s="7" t="b">
        <v>0</v>
      </c>
      <c r="E75" s="8"/>
      <c r="F75" s="8"/>
      <c r="G75" s="9"/>
      <c r="H75" s="10"/>
    </row>
    <row r="76" ht="22.5" customHeight="1">
      <c r="A76" s="4"/>
      <c r="B76" s="5"/>
      <c r="C76" s="6"/>
      <c r="D76" s="7" t="b">
        <v>0</v>
      </c>
      <c r="E76" s="8"/>
      <c r="F76" s="8"/>
      <c r="G76" s="9"/>
      <c r="H76" s="10"/>
    </row>
    <row r="77" ht="22.5" customHeight="1">
      <c r="A77" s="4"/>
      <c r="B77" s="5"/>
      <c r="C77" s="6"/>
      <c r="D77" s="7" t="b">
        <v>0</v>
      </c>
      <c r="E77" s="8"/>
      <c r="F77" s="8"/>
      <c r="G77" s="9"/>
      <c r="H77" s="10"/>
    </row>
    <row r="78" ht="22.5" customHeight="1">
      <c r="A78" s="4"/>
      <c r="B78" s="5"/>
      <c r="C78" s="6"/>
      <c r="D78" s="7" t="b">
        <v>0</v>
      </c>
      <c r="E78" s="8"/>
      <c r="F78" s="8"/>
      <c r="G78" s="9"/>
      <c r="H78" s="10"/>
    </row>
    <row r="79" ht="22.5" customHeight="1">
      <c r="A79" s="4"/>
      <c r="B79" s="5"/>
      <c r="C79" s="6"/>
      <c r="D79" s="7" t="b">
        <v>0</v>
      </c>
      <c r="E79" s="8"/>
      <c r="F79" s="8"/>
      <c r="G79" s="9"/>
      <c r="H79" s="10"/>
    </row>
    <row r="80" ht="22.5" customHeight="1">
      <c r="A80" s="4"/>
      <c r="B80" s="5"/>
      <c r="C80" s="6"/>
      <c r="D80" s="7" t="b">
        <v>0</v>
      </c>
      <c r="E80" s="8"/>
      <c r="F80" s="8"/>
      <c r="G80" s="9"/>
      <c r="H80" s="10"/>
    </row>
    <row r="81" ht="22.5" customHeight="1">
      <c r="A81" s="4"/>
      <c r="B81" s="5"/>
      <c r="C81" s="6"/>
      <c r="D81" s="7" t="b">
        <v>0</v>
      </c>
      <c r="E81" s="8"/>
      <c r="F81" s="8"/>
      <c r="G81" s="9"/>
      <c r="H81" s="10"/>
    </row>
    <row r="82" ht="22.5" customHeight="1">
      <c r="A82" s="4"/>
      <c r="B82" s="5"/>
      <c r="C82" s="6"/>
      <c r="D82" s="7" t="b">
        <v>0</v>
      </c>
      <c r="E82" s="8"/>
      <c r="F82" s="8"/>
      <c r="G82" s="9"/>
      <c r="H82" s="10"/>
    </row>
    <row r="83" ht="22.5" customHeight="1">
      <c r="A83" s="4"/>
      <c r="B83" s="5"/>
      <c r="C83" s="6"/>
      <c r="D83" s="7" t="b">
        <v>0</v>
      </c>
      <c r="E83" s="8"/>
      <c r="F83" s="8"/>
      <c r="G83" s="9"/>
      <c r="H83" s="10"/>
    </row>
    <row r="84" ht="22.5" customHeight="1">
      <c r="A84" s="4"/>
      <c r="B84" s="5"/>
      <c r="C84" s="6"/>
      <c r="D84" s="7" t="b">
        <v>0</v>
      </c>
      <c r="E84" s="8"/>
      <c r="F84" s="8"/>
      <c r="G84" s="9"/>
      <c r="H84" s="10"/>
    </row>
    <row r="85" ht="22.5" customHeight="1">
      <c r="A85" s="4"/>
      <c r="B85" s="5"/>
      <c r="C85" s="6"/>
      <c r="D85" s="7" t="b">
        <v>0</v>
      </c>
      <c r="E85" s="8"/>
      <c r="F85" s="8"/>
      <c r="G85" s="9"/>
      <c r="H85" s="10"/>
    </row>
    <row r="86" ht="22.5" customHeight="1">
      <c r="A86" s="4"/>
      <c r="B86" s="5"/>
      <c r="C86" s="6"/>
      <c r="D86" s="7" t="b">
        <v>0</v>
      </c>
      <c r="E86" s="8"/>
      <c r="F86" s="8"/>
      <c r="G86" s="9"/>
      <c r="H86" s="10"/>
    </row>
    <row r="87" ht="22.5" customHeight="1">
      <c r="A87" s="4"/>
      <c r="B87" s="5"/>
      <c r="C87" s="6"/>
      <c r="D87" s="7" t="b">
        <v>0</v>
      </c>
      <c r="E87" s="8"/>
      <c r="F87" s="8"/>
      <c r="G87" s="9"/>
      <c r="H87" s="10"/>
    </row>
    <row r="88" ht="22.5" customHeight="1">
      <c r="A88" s="4"/>
      <c r="B88" s="5"/>
      <c r="C88" s="6"/>
      <c r="D88" s="7" t="b">
        <v>0</v>
      </c>
      <c r="E88" s="8"/>
      <c r="F88" s="8"/>
      <c r="G88" s="9"/>
      <c r="H88" s="10"/>
    </row>
    <row r="89" ht="22.5" customHeight="1">
      <c r="A89" s="4"/>
      <c r="B89" s="5"/>
      <c r="C89" s="6"/>
      <c r="D89" s="7" t="b">
        <v>0</v>
      </c>
      <c r="E89" s="8"/>
      <c r="F89" s="8"/>
      <c r="G89" s="9"/>
      <c r="H89" s="10"/>
    </row>
    <row r="90" ht="22.5" customHeight="1">
      <c r="A90" s="4"/>
      <c r="B90" s="5"/>
      <c r="C90" s="6"/>
      <c r="D90" s="7" t="b">
        <v>0</v>
      </c>
      <c r="E90" s="8"/>
      <c r="F90" s="8"/>
      <c r="G90" s="9"/>
      <c r="H90" s="10"/>
    </row>
    <row r="91" ht="22.5" customHeight="1">
      <c r="A91" s="4"/>
      <c r="B91" s="5"/>
      <c r="C91" s="6"/>
      <c r="D91" s="7" t="b">
        <v>0</v>
      </c>
      <c r="E91" s="8"/>
      <c r="F91" s="8"/>
      <c r="G91" s="9"/>
      <c r="H91" s="10"/>
    </row>
  </sheetData>
  <dataValidations>
    <dataValidation type="list" allowBlank="1" sqref="G2:G91">
      <formula1>"Aphex,Peaches,None"</formula1>
    </dataValidation>
    <dataValidation type="list" allowBlank="1" sqref="F2:F91">
      <formula1>"Untested,Has Issues,Is Perfect,Ignorable Issues"</formula1>
    </dataValidation>
    <dataValidation type="list" allowBlank="1" sqref="E2:E91">
      <formula1>"Completed,In Progress,Not Started,N/A"</formula1>
    </dataValidation>
    <dataValidation allowBlank="1" showDropDown="1" sqref="C2:C91 H2:H91"/>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5.25"/>
    <col customWidth="1" min="3" max="3" width="25.5"/>
    <col customWidth="1" min="4" max="4" width="7.88"/>
    <col customWidth="1" min="5" max="5" width="12.75"/>
    <col customWidth="1" min="6" max="7" width="8.13"/>
    <col customWidth="1" min="8" max="8" width="12.38"/>
    <col customWidth="1" min="10" max="10" width="5.38"/>
    <col customWidth="1" min="11" max="11" width="19.75"/>
    <col customWidth="1" min="12" max="12" width="18.0"/>
    <col customWidth="1" min="13" max="13" width="7.5"/>
    <col customWidth="1" min="14" max="14" width="9.75"/>
  </cols>
  <sheetData>
    <row r="2">
      <c r="B2" s="11" t="s">
        <v>192</v>
      </c>
      <c r="C2" s="12"/>
      <c r="D2" s="12"/>
      <c r="E2" s="12"/>
      <c r="F2" s="12"/>
      <c r="G2" s="12"/>
      <c r="H2" s="13"/>
      <c r="J2" s="11" t="s">
        <v>193</v>
      </c>
      <c r="K2" s="12"/>
      <c r="L2" s="12"/>
      <c r="M2" s="12"/>
      <c r="N2" s="13"/>
    </row>
    <row r="3">
      <c r="B3" s="14"/>
      <c r="H3" s="15"/>
      <c r="J3" s="14"/>
      <c r="N3" s="15"/>
    </row>
    <row r="4">
      <c r="A4" s="16"/>
      <c r="B4" s="17" t="s">
        <v>194</v>
      </c>
      <c r="C4" s="18" t="s">
        <v>195</v>
      </c>
      <c r="D4" s="18" t="s">
        <v>196</v>
      </c>
      <c r="E4" s="18" t="s">
        <v>197</v>
      </c>
      <c r="F4" s="18" t="s">
        <v>198</v>
      </c>
      <c r="G4" s="18" t="s">
        <v>199</v>
      </c>
      <c r="H4" s="19" t="s">
        <v>200</v>
      </c>
      <c r="J4" s="17" t="s">
        <v>194</v>
      </c>
      <c r="K4" s="20" t="s">
        <v>201</v>
      </c>
      <c r="L4" s="20" t="s">
        <v>202</v>
      </c>
      <c r="M4" s="20" t="s">
        <v>196</v>
      </c>
      <c r="N4" s="20" t="s">
        <v>197</v>
      </c>
    </row>
    <row r="5">
      <c r="B5" s="21">
        <v>0.0</v>
      </c>
      <c r="C5" s="16" t="s">
        <v>203</v>
      </c>
      <c r="D5" s="16" t="s">
        <v>204</v>
      </c>
      <c r="E5" s="22" t="s">
        <v>205</v>
      </c>
      <c r="F5" s="16" t="s">
        <v>206</v>
      </c>
      <c r="G5" s="16"/>
      <c r="H5" s="23"/>
      <c r="J5" s="21">
        <v>0.0</v>
      </c>
      <c r="K5" s="16" t="s">
        <v>207</v>
      </c>
      <c r="L5" s="16" t="s">
        <v>208</v>
      </c>
      <c r="M5" s="16" t="s">
        <v>12</v>
      </c>
      <c r="N5" s="23" t="s">
        <v>209</v>
      </c>
    </row>
    <row r="6">
      <c r="B6" s="21">
        <v>1.0</v>
      </c>
      <c r="C6" s="16" t="s">
        <v>210</v>
      </c>
      <c r="D6" s="16" t="s">
        <v>12</v>
      </c>
      <c r="E6" s="24" t="s">
        <v>211</v>
      </c>
      <c r="F6" s="16" t="s">
        <v>206</v>
      </c>
      <c r="G6" s="16"/>
      <c r="H6" s="23"/>
      <c r="J6" s="21">
        <v>1.0</v>
      </c>
      <c r="K6" s="16" t="s">
        <v>212</v>
      </c>
      <c r="L6" s="16" t="s">
        <v>213</v>
      </c>
      <c r="M6" s="16" t="s">
        <v>12</v>
      </c>
      <c r="N6" s="23" t="s">
        <v>209</v>
      </c>
    </row>
    <row r="7">
      <c r="B7" s="21">
        <v>2.0</v>
      </c>
      <c r="C7" s="16" t="s">
        <v>214</v>
      </c>
      <c r="D7" s="16" t="s">
        <v>12</v>
      </c>
      <c r="E7" s="24" t="s">
        <v>211</v>
      </c>
      <c r="F7" s="16" t="s">
        <v>215</v>
      </c>
      <c r="G7" s="16"/>
      <c r="H7" s="23"/>
      <c r="J7" s="21">
        <v>2.0</v>
      </c>
      <c r="K7" s="16" t="s">
        <v>216</v>
      </c>
      <c r="L7" s="16" t="s">
        <v>213</v>
      </c>
      <c r="M7" s="16" t="s">
        <v>12</v>
      </c>
      <c r="N7" s="23" t="s">
        <v>209</v>
      </c>
    </row>
    <row r="8">
      <c r="B8" s="21">
        <v>3.0</v>
      </c>
      <c r="C8" s="16" t="s">
        <v>217</v>
      </c>
      <c r="D8" s="16" t="s">
        <v>12</v>
      </c>
      <c r="E8" s="24" t="s">
        <v>211</v>
      </c>
      <c r="F8" s="16" t="s">
        <v>206</v>
      </c>
      <c r="G8" s="16"/>
      <c r="H8" s="23"/>
      <c r="J8" s="21">
        <v>3.0</v>
      </c>
      <c r="K8" s="16" t="s">
        <v>218</v>
      </c>
      <c r="L8" s="16" t="s">
        <v>219</v>
      </c>
      <c r="M8" s="16" t="s">
        <v>12</v>
      </c>
      <c r="N8" s="23" t="s">
        <v>209</v>
      </c>
    </row>
    <row r="9">
      <c r="B9" s="21">
        <v>4.0</v>
      </c>
      <c r="C9" s="16" t="s">
        <v>220</v>
      </c>
      <c r="D9" s="16" t="s">
        <v>12</v>
      </c>
      <c r="E9" s="24" t="s">
        <v>211</v>
      </c>
      <c r="F9" s="16" t="s">
        <v>206</v>
      </c>
      <c r="G9" s="16"/>
      <c r="H9" s="23"/>
      <c r="J9" s="21">
        <v>4.0</v>
      </c>
      <c r="K9" s="16" t="s">
        <v>221</v>
      </c>
      <c r="L9" s="16" t="s">
        <v>219</v>
      </c>
      <c r="M9" s="16" t="s">
        <v>12</v>
      </c>
      <c r="N9" s="23" t="s">
        <v>209</v>
      </c>
    </row>
    <row r="10">
      <c r="B10" s="21">
        <v>5.0</v>
      </c>
      <c r="C10" s="16" t="s">
        <v>222</v>
      </c>
      <c r="D10" s="16" t="s">
        <v>204</v>
      </c>
      <c r="E10" s="22" t="s">
        <v>205</v>
      </c>
      <c r="F10" s="16" t="s">
        <v>206</v>
      </c>
      <c r="G10" s="16" t="s">
        <v>223</v>
      </c>
      <c r="H10" s="23"/>
      <c r="J10" s="21">
        <v>5.0</v>
      </c>
      <c r="K10" s="16" t="s">
        <v>224</v>
      </c>
      <c r="L10" s="16" t="s">
        <v>225</v>
      </c>
      <c r="M10" s="16" t="s">
        <v>12</v>
      </c>
      <c r="N10" s="23" t="s">
        <v>209</v>
      </c>
    </row>
    <row r="11">
      <c r="B11" s="21">
        <v>6.0</v>
      </c>
      <c r="C11" s="16" t="s">
        <v>226</v>
      </c>
      <c r="D11" s="16" t="s">
        <v>12</v>
      </c>
      <c r="E11" s="24" t="s">
        <v>211</v>
      </c>
      <c r="F11" s="16" t="s">
        <v>206</v>
      </c>
      <c r="G11" s="16"/>
      <c r="H11" s="23"/>
      <c r="J11" s="21">
        <v>6.0</v>
      </c>
      <c r="K11" s="16" t="s">
        <v>227</v>
      </c>
      <c r="L11" s="16" t="s">
        <v>228</v>
      </c>
      <c r="M11" s="16" t="s">
        <v>12</v>
      </c>
      <c r="N11" s="23" t="s">
        <v>209</v>
      </c>
    </row>
    <row r="12">
      <c r="B12" s="21">
        <v>7.0</v>
      </c>
      <c r="C12" s="16" t="s">
        <v>229</v>
      </c>
      <c r="D12" s="16" t="s">
        <v>230</v>
      </c>
      <c r="E12" s="22" t="s">
        <v>205</v>
      </c>
      <c r="F12" s="16" t="s">
        <v>206</v>
      </c>
      <c r="G12" s="16"/>
      <c r="H12" s="23"/>
      <c r="J12" s="21">
        <v>7.0</v>
      </c>
      <c r="K12" s="16" t="s">
        <v>231</v>
      </c>
      <c r="L12" s="16" t="s">
        <v>228</v>
      </c>
      <c r="M12" s="16" t="s">
        <v>12</v>
      </c>
      <c r="N12" s="23" t="s">
        <v>209</v>
      </c>
    </row>
    <row r="13">
      <c r="B13" s="21">
        <v>8.0</v>
      </c>
      <c r="C13" s="16" t="s">
        <v>232</v>
      </c>
      <c r="D13" s="16" t="s">
        <v>12</v>
      </c>
      <c r="E13" s="24" t="s">
        <v>211</v>
      </c>
      <c r="F13" s="16" t="s">
        <v>206</v>
      </c>
      <c r="G13" s="16"/>
      <c r="H13" s="23"/>
      <c r="J13" s="21">
        <v>8.0</v>
      </c>
      <c r="K13" s="16" t="s">
        <v>233</v>
      </c>
      <c r="L13" s="16" t="s">
        <v>234</v>
      </c>
      <c r="M13" s="16" t="s">
        <v>12</v>
      </c>
      <c r="N13" s="23" t="s">
        <v>209</v>
      </c>
    </row>
    <row r="14">
      <c r="B14" s="21">
        <v>9.0</v>
      </c>
      <c r="C14" s="16" t="s">
        <v>30</v>
      </c>
      <c r="D14" s="16" t="s">
        <v>204</v>
      </c>
      <c r="E14" s="22" t="s">
        <v>205</v>
      </c>
      <c r="F14" s="16" t="s">
        <v>215</v>
      </c>
      <c r="G14" s="16"/>
      <c r="H14" s="23"/>
      <c r="J14" s="21">
        <v>9.0</v>
      </c>
      <c r="K14" s="16" t="s">
        <v>235</v>
      </c>
      <c r="L14" s="16" t="s">
        <v>234</v>
      </c>
      <c r="M14" s="16" t="s">
        <v>12</v>
      </c>
      <c r="N14" s="23" t="s">
        <v>209</v>
      </c>
    </row>
    <row r="15">
      <c r="B15" s="21">
        <v>10.0</v>
      </c>
      <c r="C15" s="16" t="s">
        <v>236</v>
      </c>
      <c r="D15" s="16" t="s">
        <v>12</v>
      </c>
      <c r="E15" s="24" t="s">
        <v>211</v>
      </c>
      <c r="F15" s="16" t="s">
        <v>206</v>
      </c>
      <c r="G15" s="16" t="s">
        <v>223</v>
      </c>
      <c r="H15" s="23"/>
      <c r="J15" s="21">
        <v>10.0</v>
      </c>
      <c r="K15" s="16" t="s">
        <v>237</v>
      </c>
      <c r="L15" s="16" t="s">
        <v>238</v>
      </c>
      <c r="M15" s="16" t="s">
        <v>12</v>
      </c>
      <c r="N15" s="23" t="s">
        <v>209</v>
      </c>
    </row>
    <row r="16">
      <c r="B16" s="21">
        <v>11.0</v>
      </c>
      <c r="C16" s="16" t="s">
        <v>239</v>
      </c>
      <c r="D16" s="16" t="s">
        <v>230</v>
      </c>
      <c r="E16" s="22" t="s">
        <v>205</v>
      </c>
      <c r="F16" s="16" t="s">
        <v>215</v>
      </c>
      <c r="G16" s="16"/>
      <c r="H16" s="23"/>
      <c r="J16" s="21">
        <v>11.0</v>
      </c>
      <c r="K16" s="16" t="s">
        <v>240</v>
      </c>
      <c r="L16" s="16" t="s">
        <v>238</v>
      </c>
      <c r="M16" s="16" t="s">
        <v>12</v>
      </c>
      <c r="N16" s="23" t="s">
        <v>209</v>
      </c>
    </row>
    <row r="17">
      <c r="B17" s="21">
        <v>12.0</v>
      </c>
      <c r="C17" s="16" t="s">
        <v>241</v>
      </c>
      <c r="D17" s="16" t="s">
        <v>204</v>
      </c>
      <c r="E17" s="24" t="s">
        <v>211</v>
      </c>
      <c r="F17" s="16" t="s">
        <v>206</v>
      </c>
      <c r="G17" s="16"/>
      <c r="H17" s="23" t="s">
        <v>242</v>
      </c>
      <c r="J17" s="21">
        <v>12.0</v>
      </c>
      <c r="K17" s="16" t="s">
        <v>243</v>
      </c>
      <c r="L17" s="16" t="s">
        <v>244</v>
      </c>
      <c r="M17" s="16" t="s">
        <v>12</v>
      </c>
      <c r="N17" s="23" t="s">
        <v>209</v>
      </c>
    </row>
    <row r="18">
      <c r="B18" s="21">
        <v>13.0</v>
      </c>
      <c r="C18" s="16" t="s">
        <v>245</v>
      </c>
      <c r="D18" s="16" t="s">
        <v>204</v>
      </c>
      <c r="E18" s="24" t="s">
        <v>211</v>
      </c>
      <c r="F18" s="16" t="s">
        <v>206</v>
      </c>
      <c r="G18" s="16"/>
      <c r="H18" s="23" t="s">
        <v>242</v>
      </c>
      <c r="J18" s="21">
        <v>13.0</v>
      </c>
      <c r="K18" s="16" t="s">
        <v>246</v>
      </c>
      <c r="L18" s="16" t="s">
        <v>244</v>
      </c>
      <c r="M18" s="16" t="s">
        <v>12</v>
      </c>
      <c r="N18" s="23" t="s">
        <v>209</v>
      </c>
    </row>
    <row r="19">
      <c r="B19" s="21">
        <v>14.0</v>
      </c>
      <c r="C19" s="16" t="s">
        <v>247</v>
      </c>
      <c r="D19" s="16" t="s">
        <v>204</v>
      </c>
      <c r="E19" s="22" t="s">
        <v>205</v>
      </c>
      <c r="F19" s="16" t="s">
        <v>206</v>
      </c>
      <c r="G19" s="16"/>
      <c r="H19" s="23"/>
      <c r="J19" s="21">
        <v>14.0</v>
      </c>
      <c r="K19" s="16" t="s">
        <v>248</v>
      </c>
      <c r="L19" s="16" t="s">
        <v>249</v>
      </c>
      <c r="M19" s="16" t="s">
        <v>230</v>
      </c>
      <c r="N19" s="23" t="s">
        <v>209</v>
      </c>
    </row>
    <row r="20">
      <c r="B20" s="21">
        <v>15.0</v>
      </c>
      <c r="C20" s="16" t="s">
        <v>250</v>
      </c>
      <c r="D20" s="16" t="s">
        <v>12</v>
      </c>
      <c r="E20" s="24" t="s">
        <v>211</v>
      </c>
      <c r="F20" s="16" t="s">
        <v>206</v>
      </c>
      <c r="G20" s="16"/>
      <c r="H20" s="23"/>
      <c r="J20" s="21">
        <v>15.0</v>
      </c>
      <c r="K20" s="16" t="s">
        <v>251</v>
      </c>
      <c r="L20" s="16" t="s">
        <v>252</v>
      </c>
      <c r="M20" s="16" t="s">
        <v>230</v>
      </c>
      <c r="N20" s="23" t="s">
        <v>209</v>
      </c>
    </row>
    <row r="21">
      <c r="B21" s="21">
        <v>16.0</v>
      </c>
      <c r="C21" s="16" t="s">
        <v>45</v>
      </c>
      <c r="D21" s="16" t="s">
        <v>204</v>
      </c>
      <c r="E21" s="22" t="s">
        <v>205</v>
      </c>
      <c r="F21" s="16" t="s">
        <v>206</v>
      </c>
      <c r="G21" s="16"/>
      <c r="H21" s="23"/>
      <c r="J21" s="21">
        <v>16.0</v>
      </c>
      <c r="K21" s="16" t="s">
        <v>253</v>
      </c>
      <c r="L21" s="16" t="s">
        <v>252</v>
      </c>
      <c r="M21" s="16" t="s">
        <v>230</v>
      </c>
      <c r="N21" s="23" t="s">
        <v>209</v>
      </c>
    </row>
    <row r="22">
      <c r="B22" s="21">
        <v>17.0</v>
      </c>
      <c r="C22" s="16" t="s">
        <v>254</v>
      </c>
      <c r="D22" s="16" t="s">
        <v>12</v>
      </c>
      <c r="E22" s="24" t="s">
        <v>211</v>
      </c>
      <c r="F22" s="16" t="s">
        <v>206</v>
      </c>
      <c r="G22" s="16"/>
      <c r="H22" s="23"/>
      <c r="J22" s="21">
        <v>17.0</v>
      </c>
      <c r="K22" s="16" t="s">
        <v>255</v>
      </c>
      <c r="L22" s="16" t="s">
        <v>256</v>
      </c>
      <c r="M22" s="16" t="s">
        <v>230</v>
      </c>
      <c r="N22" s="23" t="s">
        <v>209</v>
      </c>
    </row>
    <row r="23">
      <c r="B23" s="21">
        <v>18.0</v>
      </c>
      <c r="C23" s="16" t="s">
        <v>257</v>
      </c>
      <c r="D23" s="16" t="s">
        <v>12</v>
      </c>
      <c r="E23" s="22" t="s">
        <v>205</v>
      </c>
      <c r="F23" s="16" t="s">
        <v>215</v>
      </c>
      <c r="G23" s="16"/>
      <c r="H23" s="23"/>
      <c r="J23" s="25">
        <v>18.0</v>
      </c>
      <c r="K23" s="26" t="s">
        <v>258</v>
      </c>
      <c r="L23" s="26" t="s">
        <v>259</v>
      </c>
      <c r="M23" s="26" t="s">
        <v>12</v>
      </c>
      <c r="N23" s="27" t="s">
        <v>209</v>
      </c>
    </row>
    <row r="24">
      <c r="B24" s="21">
        <v>19.0</v>
      </c>
      <c r="C24" s="16" t="s">
        <v>260</v>
      </c>
      <c r="D24" s="16" t="s">
        <v>204</v>
      </c>
      <c r="E24" s="22" t="s">
        <v>205</v>
      </c>
      <c r="F24" s="16" t="s">
        <v>215</v>
      </c>
      <c r="G24" s="16"/>
      <c r="H24" s="23"/>
      <c r="J24" s="25">
        <v>19.0</v>
      </c>
      <c r="K24" s="26" t="s">
        <v>261</v>
      </c>
      <c r="L24" s="26" t="s">
        <v>259</v>
      </c>
      <c r="M24" s="26" t="s">
        <v>12</v>
      </c>
      <c r="N24" s="27" t="s">
        <v>209</v>
      </c>
    </row>
    <row r="25">
      <c r="B25" s="21">
        <v>20.0</v>
      </c>
      <c r="C25" s="16" t="s">
        <v>262</v>
      </c>
      <c r="D25" s="16" t="s">
        <v>12</v>
      </c>
      <c r="E25" s="22" t="s">
        <v>205</v>
      </c>
      <c r="F25" s="16" t="s">
        <v>215</v>
      </c>
      <c r="G25" s="16"/>
      <c r="H25" s="23"/>
      <c r="J25" s="28"/>
      <c r="K25" s="29"/>
      <c r="L25" s="29"/>
      <c r="M25" s="29"/>
      <c r="N25" s="30"/>
    </row>
    <row r="26">
      <c r="B26" s="21">
        <v>21.0</v>
      </c>
      <c r="C26" s="16" t="s">
        <v>263</v>
      </c>
      <c r="D26" s="16" t="s">
        <v>12</v>
      </c>
      <c r="E26" s="22" t="s">
        <v>205</v>
      </c>
      <c r="F26" s="16" t="s">
        <v>215</v>
      </c>
      <c r="G26" s="16"/>
      <c r="H26" s="23"/>
      <c r="J26" s="31"/>
      <c r="K26" s="32"/>
      <c r="L26" s="32"/>
      <c r="M26" s="32"/>
      <c r="N26" s="33"/>
    </row>
    <row r="27">
      <c r="B27" s="21">
        <v>22.0</v>
      </c>
      <c r="C27" s="16" t="s">
        <v>264</v>
      </c>
      <c r="D27" s="16" t="s">
        <v>12</v>
      </c>
      <c r="E27" s="24" t="s">
        <v>211</v>
      </c>
      <c r="F27" s="16" t="s">
        <v>206</v>
      </c>
      <c r="G27" s="16"/>
      <c r="H27" s="23"/>
    </row>
    <row r="28">
      <c r="B28" s="21">
        <v>23.0</v>
      </c>
      <c r="C28" s="16" t="s">
        <v>265</v>
      </c>
      <c r="D28" s="16" t="s">
        <v>12</v>
      </c>
      <c r="E28" s="24" t="s">
        <v>211</v>
      </c>
      <c r="F28" s="16" t="s">
        <v>206</v>
      </c>
      <c r="G28" s="16"/>
      <c r="H28" s="23"/>
    </row>
    <row r="29">
      <c r="B29" s="21">
        <v>24.0</v>
      </c>
      <c r="C29" s="16" t="s">
        <v>266</v>
      </c>
      <c r="D29" s="16" t="s">
        <v>267</v>
      </c>
      <c r="E29" s="34" t="s">
        <v>268</v>
      </c>
      <c r="F29" s="16" t="s">
        <v>215</v>
      </c>
      <c r="G29" s="16"/>
      <c r="H29" s="23" t="s">
        <v>242</v>
      </c>
    </row>
    <row r="30">
      <c r="B30" s="21">
        <v>25.0</v>
      </c>
      <c r="C30" s="16" t="s">
        <v>269</v>
      </c>
      <c r="D30" s="16" t="s">
        <v>204</v>
      </c>
      <c r="E30" s="22" t="s">
        <v>205</v>
      </c>
      <c r="F30" s="16" t="s">
        <v>215</v>
      </c>
      <c r="G30" s="16"/>
      <c r="H30" s="23" t="s">
        <v>242</v>
      </c>
    </row>
    <row r="31">
      <c r="B31" s="21">
        <v>26.0</v>
      </c>
      <c r="C31" s="16" t="s">
        <v>270</v>
      </c>
      <c r="D31" s="16" t="s">
        <v>12</v>
      </c>
      <c r="E31" s="22" t="s">
        <v>205</v>
      </c>
      <c r="F31" s="16" t="s">
        <v>215</v>
      </c>
      <c r="G31" s="16"/>
      <c r="H31" s="23"/>
    </row>
    <row r="32">
      <c r="B32" s="21">
        <v>27.0</v>
      </c>
      <c r="C32" s="16" t="s">
        <v>271</v>
      </c>
      <c r="D32" s="16" t="s">
        <v>267</v>
      </c>
      <c r="E32" s="34" t="s">
        <v>268</v>
      </c>
      <c r="F32" s="16" t="s">
        <v>206</v>
      </c>
      <c r="G32" s="16"/>
      <c r="H32" s="23" t="s">
        <v>242</v>
      </c>
    </row>
    <row r="33">
      <c r="B33" s="21">
        <v>28.0</v>
      </c>
      <c r="C33" s="16" t="s">
        <v>272</v>
      </c>
      <c r="D33" s="16" t="s">
        <v>230</v>
      </c>
      <c r="E33" s="22" t="s">
        <v>205</v>
      </c>
      <c r="F33" s="16" t="s">
        <v>215</v>
      </c>
      <c r="G33" s="16"/>
      <c r="H33" s="23" t="s">
        <v>273</v>
      </c>
    </row>
    <row r="34">
      <c r="B34" s="21">
        <v>29.0</v>
      </c>
      <c r="C34" s="16" t="s">
        <v>274</v>
      </c>
      <c r="D34" s="16" t="s">
        <v>230</v>
      </c>
      <c r="E34" s="22" t="s">
        <v>205</v>
      </c>
      <c r="F34" s="16" t="s">
        <v>206</v>
      </c>
      <c r="G34" s="16"/>
      <c r="H34" s="23" t="s">
        <v>273</v>
      </c>
    </row>
    <row r="35">
      <c r="B35" s="21">
        <v>30.0</v>
      </c>
      <c r="C35" s="16" t="s">
        <v>275</v>
      </c>
      <c r="D35" s="16" t="s">
        <v>267</v>
      </c>
      <c r="E35" s="34" t="s">
        <v>268</v>
      </c>
      <c r="F35" s="16" t="s">
        <v>215</v>
      </c>
      <c r="G35" s="16"/>
      <c r="H35" s="23" t="s">
        <v>273</v>
      </c>
    </row>
    <row r="36">
      <c r="B36" s="21">
        <v>31.0</v>
      </c>
      <c r="C36" s="16" t="s">
        <v>276</v>
      </c>
      <c r="D36" s="16" t="s">
        <v>230</v>
      </c>
      <c r="E36" s="22" t="s">
        <v>205</v>
      </c>
      <c r="F36" s="16" t="s">
        <v>215</v>
      </c>
      <c r="G36" s="16"/>
      <c r="H36" s="23"/>
    </row>
    <row r="37">
      <c r="B37" s="21">
        <v>32.0</v>
      </c>
      <c r="C37" s="16" t="s">
        <v>277</v>
      </c>
      <c r="D37" s="16" t="s">
        <v>204</v>
      </c>
      <c r="E37" s="22" t="s">
        <v>205</v>
      </c>
      <c r="F37" s="16" t="s">
        <v>206</v>
      </c>
      <c r="G37" s="16"/>
      <c r="H37" s="23" t="s">
        <v>273</v>
      </c>
    </row>
    <row r="38">
      <c r="B38" s="21">
        <v>33.0</v>
      </c>
      <c r="C38" s="16" t="s">
        <v>278</v>
      </c>
      <c r="D38" s="16" t="s">
        <v>204</v>
      </c>
      <c r="E38" s="22" t="s">
        <v>205</v>
      </c>
      <c r="F38" s="16" t="s">
        <v>215</v>
      </c>
      <c r="G38" s="16"/>
      <c r="H38" s="23"/>
    </row>
    <row r="39">
      <c r="B39" s="21">
        <v>34.0</v>
      </c>
      <c r="C39" s="16" t="s">
        <v>279</v>
      </c>
      <c r="D39" s="16" t="s">
        <v>204</v>
      </c>
      <c r="E39" s="22" t="s">
        <v>205</v>
      </c>
      <c r="F39" s="16" t="s">
        <v>215</v>
      </c>
      <c r="G39" s="16"/>
      <c r="H39" s="23"/>
    </row>
    <row r="40">
      <c r="B40" s="21">
        <v>35.0</v>
      </c>
      <c r="C40" s="16" t="s">
        <v>280</v>
      </c>
      <c r="D40" s="16" t="s">
        <v>204</v>
      </c>
      <c r="E40" s="24" t="s">
        <v>211</v>
      </c>
      <c r="F40" s="16" t="s">
        <v>215</v>
      </c>
      <c r="G40" s="16" t="s">
        <v>281</v>
      </c>
      <c r="H40" s="23"/>
    </row>
    <row r="41">
      <c r="B41" s="21">
        <v>36.0</v>
      </c>
      <c r="C41" s="16" t="s">
        <v>282</v>
      </c>
      <c r="D41" s="16" t="s">
        <v>12</v>
      </c>
      <c r="E41" s="22" t="s">
        <v>205</v>
      </c>
      <c r="F41" s="16" t="s">
        <v>215</v>
      </c>
      <c r="G41" s="16"/>
      <c r="H41" s="23"/>
    </row>
    <row r="42">
      <c r="B42" s="21">
        <v>37.0</v>
      </c>
      <c r="C42" s="16" t="s">
        <v>283</v>
      </c>
      <c r="D42" s="16" t="s">
        <v>12</v>
      </c>
      <c r="E42" s="22" t="s">
        <v>205</v>
      </c>
      <c r="F42" s="16" t="s">
        <v>215</v>
      </c>
      <c r="G42" s="16"/>
      <c r="H42" s="23"/>
    </row>
    <row r="43">
      <c r="B43" s="21">
        <v>38.0</v>
      </c>
      <c r="C43" s="16" t="s">
        <v>284</v>
      </c>
      <c r="D43" s="16" t="s">
        <v>267</v>
      </c>
      <c r="E43" s="34" t="s">
        <v>268</v>
      </c>
      <c r="F43" s="16" t="s">
        <v>215</v>
      </c>
      <c r="G43" s="16"/>
      <c r="H43" s="23" t="s">
        <v>273</v>
      </c>
    </row>
    <row r="44">
      <c r="B44" s="21">
        <v>39.0</v>
      </c>
      <c r="C44" s="16" t="s">
        <v>285</v>
      </c>
      <c r="D44" s="16" t="s">
        <v>12</v>
      </c>
      <c r="E44" s="22" t="s">
        <v>205</v>
      </c>
      <c r="F44" s="16" t="s">
        <v>215</v>
      </c>
      <c r="G44" s="16"/>
      <c r="H44" s="23"/>
    </row>
    <row r="45">
      <c r="B45" s="21">
        <v>40.0</v>
      </c>
      <c r="C45" s="16" t="s">
        <v>286</v>
      </c>
      <c r="D45" s="16" t="s">
        <v>267</v>
      </c>
      <c r="E45" s="34" t="s">
        <v>268</v>
      </c>
      <c r="F45" s="16" t="s">
        <v>215</v>
      </c>
      <c r="G45" s="16"/>
      <c r="H45" s="23" t="s">
        <v>273</v>
      </c>
    </row>
    <row r="46">
      <c r="B46" s="21">
        <v>41.0</v>
      </c>
      <c r="C46" s="16" t="s">
        <v>287</v>
      </c>
      <c r="D46" s="16" t="s">
        <v>230</v>
      </c>
      <c r="E46" s="22" t="s">
        <v>205</v>
      </c>
      <c r="F46" s="16" t="s">
        <v>215</v>
      </c>
      <c r="G46" s="16"/>
      <c r="H46" s="23"/>
    </row>
    <row r="47">
      <c r="B47" s="21">
        <v>42.0</v>
      </c>
      <c r="C47" s="16" t="s">
        <v>87</v>
      </c>
      <c r="D47" s="16" t="s">
        <v>204</v>
      </c>
      <c r="E47" s="22" t="s">
        <v>205</v>
      </c>
      <c r="F47" s="16" t="s">
        <v>206</v>
      </c>
      <c r="G47" s="16"/>
      <c r="H47" s="23"/>
    </row>
    <row r="48">
      <c r="B48" s="21">
        <v>43.0</v>
      </c>
      <c r="C48" s="16" t="s">
        <v>288</v>
      </c>
      <c r="D48" s="16" t="s">
        <v>12</v>
      </c>
      <c r="E48" s="22" t="s">
        <v>205</v>
      </c>
      <c r="F48" s="16" t="s">
        <v>215</v>
      </c>
      <c r="G48" s="16"/>
      <c r="H48" s="23"/>
    </row>
    <row r="49">
      <c r="B49" s="21">
        <v>44.0</v>
      </c>
      <c r="C49" s="16" t="s">
        <v>289</v>
      </c>
      <c r="D49" s="16" t="s">
        <v>204</v>
      </c>
      <c r="E49" s="22" t="s">
        <v>205</v>
      </c>
      <c r="F49" s="16" t="s">
        <v>206</v>
      </c>
      <c r="G49" s="16"/>
      <c r="H49" s="23"/>
    </row>
    <row r="50">
      <c r="B50" s="21">
        <v>45.0</v>
      </c>
      <c r="C50" s="16" t="s">
        <v>290</v>
      </c>
      <c r="D50" s="16" t="s">
        <v>204</v>
      </c>
      <c r="E50" s="22" t="s">
        <v>205</v>
      </c>
      <c r="F50" s="16" t="s">
        <v>206</v>
      </c>
      <c r="G50" s="16"/>
      <c r="H50" s="23"/>
    </row>
    <row r="51">
      <c r="B51" s="21">
        <v>46.0</v>
      </c>
      <c r="C51" s="16" t="s">
        <v>291</v>
      </c>
      <c r="D51" s="16" t="s">
        <v>204</v>
      </c>
      <c r="E51" s="22" t="s">
        <v>205</v>
      </c>
      <c r="F51" s="16" t="s">
        <v>206</v>
      </c>
      <c r="G51" s="16"/>
      <c r="H51" s="23"/>
    </row>
    <row r="52">
      <c r="B52" s="21">
        <v>47.0</v>
      </c>
      <c r="C52" s="35" t="s">
        <v>292</v>
      </c>
      <c r="D52" s="26" t="s">
        <v>230</v>
      </c>
      <c r="E52" s="22" t="s">
        <v>205</v>
      </c>
      <c r="F52" s="26" t="s">
        <v>215</v>
      </c>
      <c r="G52" s="26"/>
      <c r="H52" s="27" t="s">
        <v>273</v>
      </c>
    </row>
    <row r="53">
      <c r="B53" s="21">
        <v>48.0</v>
      </c>
      <c r="C53" s="35" t="s">
        <v>293</v>
      </c>
      <c r="D53" s="26" t="s">
        <v>204</v>
      </c>
      <c r="E53" s="22" t="s">
        <v>205</v>
      </c>
      <c r="F53" s="26" t="s">
        <v>215</v>
      </c>
      <c r="G53" s="26"/>
      <c r="H53" s="27"/>
    </row>
    <row r="54">
      <c r="B54" s="21">
        <v>49.0</v>
      </c>
      <c r="C54" s="35" t="s">
        <v>294</v>
      </c>
      <c r="D54" s="26" t="s">
        <v>204</v>
      </c>
      <c r="E54" s="22" t="s">
        <v>205</v>
      </c>
      <c r="F54" s="26" t="s">
        <v>215</v>
      </c>
      <c r="G54" s="26"/>
      <c r="H54" s="27"/>
    </row>
    <row r="55">
      <c r="B55" s="21">
        <v>50.0</v>
      </c>
      <c r="C55" s="26" t="s">
        <v>295</v>
      </c>
      <c r="D55" s="26" t="s">
        <v>204</v>
      </c>
      <c r="E55" s="22" t="s">
        <v>205</v>
      </c>
      <c r="F55" s="26" t="s">
        <v>215</v>
      </c>
      <c r="G55" s="26" t="s">
        <v>281</v>
      </c>
      <c r="H55" s="27"/>
    </row>
    <row r="56">
      <c r="B56" s="21">
        <v>51.0</v>
      </c>
      <c r="C56" s="35" t="s">
        <v>296</v>
      </c>
      <c r="D56" s="26" t="s">
        <v>12</v>
      </c>
      <c r="E56" s="24" t="s">
        <v>211</v>
      </c>
      <c r="F56" s="26" t="s">
        <v>215</v>
      </c>
      <c r="G56" s="26"/>
      <c r="H56" s="27"/>
    </row>
    <row r="57">
      <c r="B57" s="21">
        <v>52.0</v>
      </c>
      <c r="C57" s="35" t="s">
        <v>297</v>
      </c>
      <c r="D57" s="26" t="s">
        <v>12</v>
      </c>
      <c r="E57" s="24" t="s">
        <v>211</v>
      </c>
      <c r="F57" s="26" t="s">
        <v>215</v>
      </c>
      <c r="G57" s="26"/>
      <c r="H57" s="27"/>
    </row>
    <row r="58">
      <c r="B58" s="21">
        <v>53.0</v>
      </c>
      <c r="C58" s="35" t="s">
        <v>298</v>
      </c>
      <c r="D58" s="26" t="s">
        <v>204</v>
      </c>
      <c r="E58" s="24" t="s">
        <v>211</v>
      </c>
      <c r="F58" s="26" t="s">
        <v>215</v>
      </c>
      <c r="G58" s="26"/>
      <c r="H58" s="27"/>
    </row>
    <row r="59">
      <c r="B59" s="21">
        <v>54.0</v>
      </c>
      <c r="C59" s="26" t="s">
        <v>299</v>
      </c>
      <c r="D59" s="26" t="s">
        <v>204</v>
      </c>
      <c r="E59" s="22" t="s">
        <v>205</v>
      </c>
      <c r="F59" s="26" t="s">
        <v>215</v>
      </c>
      <c r="G59" s="26"/>
      <c r="H59" s="27"/>
    </row>
    <row r="60">
      <c r="B60" s="21">
        <v>55.0</v>
      </c>
      <c r="C60" s="35" t="s">
        <v>300</v>
      </c>
      <c r="D60" s="26" t="s">
        <v>12</v>
      </c>
      <c r="E60" s="24" t="s">
        <v>211</v>
      </c>
      <c r="F60" s="26" t="s">
        <v>215</v>
      </c>
      <c r="G60" s="26"/>
      <c r="H60" s="27" t="s">
        <v>242</v>
      </c>
    </row>
    <row r="61">
      <c r="B61" s="21">
        <v>56.0</v>
      </c>
      <c r="C61" s="35" t="s">
        <v>301</v>
      </c>
      <c r="D61" s="26" t="s">
        <v>230</v>
      </c>
      <c r="E61" s="22" t="s">
        <v>205</v>
      </c>
      <c r="F61" s="26" t="s">
        <v>206</v>
      </c>
      <c r="G61" s="26"/>
      <c r="H61" s="27"/>
    </row>
    <row r="62">
      <c r="B62" s="21">
        <v>57.0</v>
      </c>
      <c r="C62" s="35" t="s">
        <v>302</v>
      </c>
      <c r="D62" s="26" t="s">
        <v>267</v>
      </c>
      <c r="E62" s="34" t="s">
        <v>268</v>
      </c>
      <c r="F62" s="26" t="s">
        <v>215</v>
      </c>
      <c r="G62" s="26"/>
      <c r="H62" s="27"/>
    </row>
    <row r="63">
      <c r="B63" s="21">
        <v>58.0</v>
      </c>
      <c r="C63" s="35" t="s">
        <v>303</v>
      </c>
      <c r="D63" s="26" t="s">
        <v>230</v>
      </c>
      <c r="E63" s="22" t="s">
        <v>211</v>
      </c>
      <c r="F63" s="26" t="s">
        <v>215</v>
      </c>
      <c r="G63" s="26"/>
      <c r="H63" s="27" t="s">
        <v>273</v>
      </c>
    </row>
    <row r="64">
      <c r="B64" s="21">
        <v>59.0</v>
      </c>
      <c r="C64" s="35" t="s">
        <v>304</v>
      </c>
      <c r="D64" s="26" t="s">
        <v>267</v>
      </c>
      <c r="E64" s="34" t="s">
        <v>268</v>
      </c>
      <c r="F64" s="26" t="s">
        <v>215</v>
      </c>
      <c r="G64" s="26"/>
      <c r="H64" s="27" t="s">
        <v>273</v>
      </c>
    </row>
    <row r="65">
      <c r="B65" s="21">
        <v>60.0</v>
      </c>
      <c r="C65" s="35" t="s">
        <v>155</v>
      </c>
      <c r="D65" s="26" t="s">
        <v>12</v>
      </c>
      <c r="E65" s="24" t="s">
        <v>211</v>
      </c>
      <c r="F65" s="26" t="s">
        <v>206</v>
      </c>
      <c r="G65" s="26"/>
      <c r="H65" s="27" t="s">
        <v>242</v>
      </c>
    </row>
    <row r="66">
      <c r="B66" s="21">
        <v>61.0</v>
      </c>
      <c r="C66" s="35" t="s">
        <v>305</v>
      </c>
      <c r="D66" s="26" t="s">
        <v>204</v>
      </c>
      <c r="E66" s="22" t="s">
        <v>205</v>
      </c>
      <c r="F66" s="26" t="s">
        <v>206</v>
      </c>
      <c r="G66" s="26"/>
      <c r="H66" s="27"/>
    </row>
    <row r="67">
      <c r="B67" s="21">
        <v>62.0</v>
      </c>
      <c r="C67" s="35" t="s">
        <v>133</v>
      </c>
      <c r="D67" s="26" t="s">
        <v>12</v>
      </c>
      <c r="E67" s="24" t="s">
        <v>211</v>
      </c>
      <c r="F67" s="26" t="s">
        <v>206</v>
      </c>
      <c r="G67" s="26"/>
      <c r="H67" s="27"/>
    </row>
    <row r="68">
      <c r="B68" s="21">
        <v>63.0</v>
      </c>
      <c r="C68" s="35" t="s">
        <v>306</v>
      </c>
      <c r="D68" s="26" t="s">
        <v>12</v>
      </c>
      <c r="E68" s="24" t="s">
        <v>211</v>
      </c>
      <c r="F68" s="26" t="s">
        <v>206</v>
      </c>
      <c r="G68" s="26"/>
      <c r="H68" s="27"/>
    </row>
    <row r="69">
      <c r="B69" s="21">
        <v>64.0</v>
      </c>
      <c r="C69" s="35" t="s">
        <v>307</v>
      </c>
      <c r="D69" s="26" t="s">
        <v>12</v>
      </c>
      <c r="E69" s="24" t="s">
        <v>211</v>
      </c>
      <c r="F69" s="26" t="s">
        <v>206</v>
      </c>
      <c r="G69" s="26"/>
      <c r="H69" s="27"/>
    </row>
    <row r="70">
      <c r="B70" s="21">
        <v>65.0</v>
      </c>
      <c r="C70" s="35" t="s">
        <v>308</v>
      </c>
      <c r="D70" s="26" t="s">
        <v>267</v>
      </c>
      <c r="E70" s="34" t="s">
        <v>268</v>
      </c>
      <c r="F70" s="26" t="s">
        <v>215</v>
      </c>
      <c r="G70" s="26"/>
      <c r="H70" s="27" t="s">
        <v>273</v>
      </c>
    </row>
    <row r="71">
      <c r="B71" s="21">
        <v>66.0</v>
      </c>
      <c r="C71" s="35" t="s">
        <v>309</v>
      </c>
      <c r="D71" s="26" t="s">
        <v>12</v>
      </c>
      <c r="E71" s="24" t="s">
        <v>211</v>
      </c>
      <c r="F71" s="26" t="s">
        <v>206</v>
      </c>
      <c r="G71" s="26"/>
      <c r="H71" s="27"/>
    </row>
    <row r="72">
      <c r="B72" s="21">
        <v>67.0</v>
      </c>
      <c r="C72" s="35" t="s">
        <v>310</v>
      </c>
      <c r="D72" s="26" t="s">
        <v>12</v>
      </c>
      <c r="E72" s="24" t="s">
        <v>211</v>
      </c>
      <c r="F72" s="26" t="s">
        <v>206</v>
      </c>
      <c r="G72" s="26"/>
      <c r="H72" s="27"/>
    </row>
    <row r="73">
      <c r="B73" s="21">
        <v>68.0</v>
      </c>
      <c r="C73" s="35" t="s">
        <v>311</v>
      </c>
      <c r="D73" s="26" t="s">
        <v>12</v>
      </c>
      <c r="E73" s="24" t="s">
        <v>211</v>
      </c>
      <c r="F73" s="26" t="s">
        <v>206</v>
      </c>
      <c r="G73" s="26"/>
      <c r="H73" s="27"/>
    </row>
    <row r="74">
      <c r="B74" s="21">
        <v>69.0</v>
      </c>
      <c r="C74" s="35" t="s">
        <v>312</v>
      </c>
      <c r="D74" s="26" t="s">
        <v>12</v>
      </c>
      <c r="E74" s="22" t="s">
        <v>205</v>
      </c>
      <c r="F74" s="26" t="s">
        <v>215</v>
      </c>
      <c r="G74" s="26"/>
      <c r="H74" s="27"/>
    </row>
    <row r="75">
      <c r="B75" s="21">
        <v>70.0</v>
      </c>
      <c r="C75" s="35" t="s">
        <v>313</v>
      </c>
      <c r="D75" s="26" t="s">
        <v>204</v>
      </c>
      <c r="E75" s="22" t="s">
        <v>205</v>
      </c>
      <c r="F75" s="26" t="s">
        <v>215</v>
      </c>
      <c r="G75" s="26"/>
      <c r="H75" s="27"/>
    </row>
    <row r="76">
      <c r="B76" s="21">
        <v>71.0</v>
      </c>
      <c r="C76" s="35" t="s">
        <v>314</v>
      </c>
      <c r="D76" s="26" t="s">
        <v>204</v>
      </c>
      <c r="E76" s="22" t="s">
        <v>205</v>
      </c>
      <c r="F76" s="26" t="s">
        <v>215</v>
      </c>
      <c r="G76" s="26"/>
      <c r="H76" s="27"/>
    </row>
    <row r="77">
      <c r="B77" s="21">
        <v>72.0</v>
      </c>
      <c r="C77" s="35" t="s">
        <v>315</v>
      </c>
      <c r="D77" s="26" t="s">
        <v>12</v>
      </c>
      <c r="E77" s="24" t="s">
        <v>211</v>
      </c>
      <c r="F77" s="26" t="s">
        <v>215</v>
      </c>
      <c r="G77" s="26"/>
      <c r="H77" s="27" t="s">
        <v>242</v>
      </c>
    </row>
    <row r="78">
      <c r="B78" s="21">
        <v>73.0</v>
      </c>
      <c r="C78" s="35" t="s">
        <v>316</v>
      </c>
      <c r="D78" s="26" t="s">
        <v>12</v>
      </c>
      <c r="E78" s="24" t="s">
        <v>211</v>
      </c>
      <c r="F78" s="26" t="s">
        <v>206</v>
      </c>
      <c r="G78" s="26"/>
      <c r="H78" s="27"/>
    </row>
    <row r="79">
      <c r="B79" s="21">
        <v>74.0</v>
      </c>
      <c r="C79" s="35" t="s">
        <v>317</v>
      </c>
      <c r="D79" s="26" t="s">
        <v>230</v>
      </c>
      <c r="E79" s="22" t="s">
        <v>205</v>
      </c>
      <c r="F79" s="26" t="s">
        <v>206</v>
      </c>
      <c r="G79" s="26"/>
      <c r="H79" s="27"/>
    </row>
    <row r="80">
      <c r="B80" s="21">
        <v>75.0</v>
      </c>
      <c r="C80" s="35" t="s">
        <v>318</v>
      </c>
      <c r="D80" s="26" t="s">
        <v>12</v>
      </c>
      <c r="E80" s="24" t="s">
        <v>211</v>
      </c>
      <c r="F80" s="26" t="s">
        <v>215</v>
      </c>
      <c r="G80" s="26"/>
      <c r="H80" s="27" t="s">
        <v>242</v>
      </c>
    </row>
    <row r="81">
      <c r="B81" s="21">
        <v>76.0</v>
      </c>
      <c r="C81" s="26" t="s">
        <v>319</v>
      </c>
      <c r="D81" s="26" t="s">
        <v>204</v>
      </c>
      <c r="E81" s="24" t="s">
        <v>211</v>
      </c>
      <c r="F81" s="26" t="s">
        <v>215</v>
      </c>
      <c r="G81" s="26"/>
      <c r="H81" s="27"/>
    </row>
    <row r="82">
      <c r="B82" s="21">
        <v>77.0</v>
      </c>
      <c r="C82" s="26" t="s">
        <v>320</v>
      </c>
      <c r="D82" s="26" t="s">
        <v>230</v>
      </c>
      <c r="E82" s="22" t="s">
        <v>205</v>
      </c>
      <c r="F82" s="26" t="s">
        <v>206</v>
      </c>
      <c r="G82" s="26"/>
      <c r="H82" s="27" t="s">
        <v>273</v>
      </c>
    </row>
    <row r="83">
      <c r="B83" s="21">
        <v>78.0</v>
      </c>
      <c r="C83" s="35" t="s">
        <v>259</v>
      </c>
      <c r="D83" s="26" t="s">
        <v>12</v>
      </c>
      <c r="E83" s="22" t="s">
        <v>205</v>
      </c>
      <c r="F83" s="35" t="s">
        <v>215</v>
      </c>
      <c r="G83" s="35"/>
      <c r="H83" s="27" t="s">
        <v>242</v>
      </c>
    </row>
    <row r="84">
      <c r="B84" s="21">
        <v>79.0</v>
      </c>
      <c r="C84" s="35" t="s">
        <v>184</v>
      </c>
      <c r="D84" s="26" t="s">
        <v>12</v>
      </c>
      <c r="E84" s="22" t="s">
        <v>205</v>
      </c>
      <c r="F84" s="35" t="s">
        <v>215</v>
      </c>
      <c r="G84" s="35"/>
      <c r="H84" s="27"/>
    </row>
    <row r="85">
      <c r="B85" s="21">
        <v>80.0</v>
      </c>
      <c r="C85" s="35" t="s">
        <v>321</v>
      </c>
      <c r="D85" s="26" t="s">
        <v>12</v>
      </c>
      <c r="E85" s="24" t="s">
        <v>211</v>
      </c>
      <c r="F85" s="35" t="s">
        <v>206</v>
      </c>
      <c r="G85" s="35"/>
      <c r="H85" s="27"/>
    </row>
    <row r="86">
      <c r="B86" s="21">
        <v>81.0</v>
      </c>
      <c r="C86" s="35" t="s">
        <v>322</v>
      </c>
      <c r="D86" s="26" t="s">
        <v>204</v>
      </c>
      <c r="E86" s="22" t="s">
        <v>205</v>
      </c>
      <c r="F86" s="35" t="s">
        <v>215</v>
      </c>
      <c r="G86" s="35"/>
      <c r="H86" s="27"/>
    </row>
    <row r="87">
      <c r="B87" s="21">
        <v>82.0</v>
      </c>
      <c r="C87" s="35" t="s">
        <v>323</v>
      </c>
      <c r="D87" s="26" t="s">
        <v>204</v>
      </c>
      <c r="E87" s="22" t="s">
        <v>205</v>
      </c>
      <c r="F87" s="35" t="s">
        <v>215</v>
      </c>
      <c r="G87" s="35"/>
      <c r="H87" s="27"/>
    </row>
    <row r="88">
      <c r="B88" s="21">
        <v>83.0</v>
      </c>
      <c r="C88" s="35" t="s">
        <v>324</v>
      </c>
      <c r="D88" s="26" t="s">
        <v>267</v>
      </c>
      <c r="E88" s="34" t="s">
        <v>268</v>
      </c>
      <c r="F88" s="35" t="s">
        <v>215</v>
      </c>
      <c r="G88" s="35"/>
      <c r="H88" s="27"/>
    </row>
    <row r="89">
      <c r="B89" s="21">
        <v>84.0</v>
      </c>
      <c r="C89" s="35" t="s">
        <v>325</v>
      </c>
      <c r="D89" s="26" t="s">
        <v>204</v>
      </c>
      <c r="E89" s="22" t="s">
        <v>205</v>
      </c>
      <c r="F89" s="35" t="s">
        <v>215</v>
      </c>
      <c r="G89" s="35"/>
      <c r="H89" s="27"/>
    </row>
    <row r="90">
      <c r="B90" s="21">
        <v>85.0</v>
      </c>
      <c r="C90" s="35" t="s">
        <v>326</v>
      </c>
      <c r="D90" s="26" t="s">
        <v>267</v>
      </c>
      <c r="E90" s="34" t="s">
        <v>268</v>
      </c>
      <c r="F90" s="35" t="s">
        <v>215</v>
      </c>
      <c r="G90" s="35"/>
      <c r="H90" s="27" t="s">
        <v>242</v>
      </c>
    </row>
    <row r="91">
      <c r="B91" s="21">
        <v>86.0</v>
      </c>
      <c r="C91" s="35" t="s">
        <v>327</v>
      </c>
      <c r="D91" s="26" t="s">
        <v>267</v>
      </c>
      <c r="E91" s="34" t="s">
        <v>268</v>
      </c>
      <c r="F91" s="35" t="s">
        <v>215</v>
      </c>
      <c r="G91" s="35"/>
      <c r="H91" s="27"/>
    </row>
    <row r="92">
      <c r="B92" s="21">
        <v>87.0</v>
      </c>
      <c r="C92" s="35" t="s">
        <v>328</v>
      </c>
      <c r="D92" s="26" t="s">
        <v>230</v>
      </c>
      <c r="E92" s="22" t="s">
        <v>205</v>
      </c>
      <c r="F92" s="35" t="s">
        <v>215</v>
      </c>
      <c r="G92" s="35"/>
      <c r="H92" s="27"/>
    </row>
    <row r="93">
      <c r="B93" s="21">
        <v>88.0</v>
      </c>
      <c r="C93" s="35" t="s">
        <v>329</v>
      </c>
      <c r="D93" s="26" t="s">
        <v>230</v>
      </c>
      <c r="E93" s="22" t="s">
        <v>205</v>
      </c>
      <c r="F93" s="35" t="s">
        <v>215</v>
      </c>
      <c r="G93" s="35"/>
      <c r="H93" s="27"/>
    </row>
    <row r="94">
      <c r="B94" s="21">
        <v>89.0</v>
      </c>
      <c r="C94" s="35" t="s">
        <v>330</v>
      </c>
      <c r="D94" s="26" t="s">
        <v>230</v>
      </c>
      <c r="E94" s="22" t="s">
        <v>205</v>
      </c>
      <c r="F94" s="35" t="s">
        <v>215</v>
      </c>
      <c r="G94" s="35"/>
      <c r="H94" s="27"/>
    </row>
    <row r="95">
      <c r="B95" s="21">
        <v>90.0</v>
      </c>
      <c r="C95" s="35" t="s">
        <v>331</v>
      </c>
      <c r="D95" s="26" t="s">
        <v>267</v>
      </c>
      <c r="E95" s="34" t="s">
        <v>268</v>
      </c>
      <c r="F95" s="35" t="s">
        <v>215</v>
      </c>
      <c r="G95" s="35"/>
      <c r="H95" s="27"/>
    </row>
    <row r="96">
      <c r="B96" s="21">
        <v>91.0</v>
      </c>
      <c r="C96" s="35" t="s">
        <v>332</v>
      </c>
      <c r="D96" s="26" t="s">
        <v>230</v>
      </c>
      <c r="E96" s="24" t="s">
        <v>211</v>
      </c>
      <c r="F96" s="35" t="s">
        <v>215</v>
      </c>
      <c r="G96" s="35"/>
      <c r="H96" s="27"/>
    </row>
    <row r="97">
      <c r="B97" s="21">
        <v>92.0</v>
      </c>
      <c r="C97" s="35" t="s">
        <v>333</v>
      </c>
      <c r="D97" s="26" t="s">
        <v>267</v>
      </c>
      <c r="E97" s="34" t="s">
        <v>268</v>
      </c>
      <c r="F97" s="35" t="s">
        <v>206</v>
      </c>
      <c r="G97" s="35"/>
      <c r="H97" s="27"/>
    </row>
    <row r="98">
      <c r="B98" s="21">
        <v>93.0</v>
      </c>
      <c r="C98" s="35" t="s">
        <v>334</v>
      </c>
      <c r="D98" s="26" t="s">
        <v>267</v>
      </c>
      <c r="E98" s="34" t="s">
        <v>268</v>
      </c>
      <c r="F98" s="35" t="s">
        <v>215</v>
      </c>
      <c r="G98" s="35"/>
      <c r="H98" s="27" t="s">
        <v>242</v>
      </c>
    </row>
    <row r="99">
      <c r="B99" s="21">
        <v>94.0</v>
      </c>
      <c r="C99" s="35" t="s">
        <v>335</v>
      </c>
      <c r="D99" s="26" t="s">
        <v>267</v>
      </c>
      <c r="E99" s="34" t="s">
        <v>268</v>
      </c>
      <c r="F99" s="35" t="s">
        <v>215</v>
      </c>
      <c r="G99" s="35"/>
      <c r="H99" s="27"/>
    </row>
    <row r="100">
      <c r="B100" s="21">
        <v>95.0</v>
      </c>
      <c r="C100" s="35" t="s">
        <v>336</v>
      </c>
      <c r="D100" s="26" t="s">
        <v>230</v>
      </c>
      <c r="E100" s="22" t="s">
        <v>205</v>
      </c>
      <c r="F100" s="35" t="s">
        <v>215</v>
      </c>
      <c r="G100" s="35"/>
      <c r="H100" s="27"/>
    </row>
    <row r="101">
      <c r="B101" s="21">
        <v>96.0</v>
      </c>
      <c r="C101" s="35" t="s">
        <v>337</v>
      </c>
      <c r="D101" s="26" t="s">
        <v>230</v>
      </c>
      <c r="E101" s="22" t="s">
        <v>205</v>
      </c>
      <c r="F101" s="35" t="s">
        <v>206</v>
      </c>
      <c r="G101" s="35"/>
      <c r="H101" s="27" t="s">
        <v>273</v>
      </c>
    </row>
    <row r="102">
      <c r="B102" s="21">
        <v>97.0</v>
      </c>
      <c r="C102" s="35" t="s">
        <v>338</v>
      </c>
      <c r="D102" s="26" t="s">
        <v>267</v>
      </c>
      <c r="E102" s="34" t="s">
        <v>268</v>
      </c>
      <c r="F102" s="35" t="s">
        <v>215</v>
      </c>
      <c r="G102" s="35"/>
      <c r="H102" s="27"/>
    </row>
    <row r="103">
      <c r="B103" s="21">
        <v>98.0</v>
      </c>
      <c r="C103" s="35" t="s">
        <v>339</v>
      </c>
      <c r="D103" s="26" t="s">
        <v>230</v>
      </c>
      <c r="E103" s="22" t="s">
        <v>211</v>
      </c>
      <c r="F103" s="35" t="s">
        <v>215</v>
      </c>
      <c r="G103" s="35"/>
      <c r="H103" s="27"/>
    </row>
    <row r="104">
      <c r="B104" s="21">
        <v>99.0</v>
      </c>
      <c r="C104" s="35" t="s">
        <v>340</v>
      </c>
      <c r="D104" s="26" t="s">
        <v>267</v>
      </c>
      <c r="E104" s="34" t="s">
        <v>268</v>
      </c>
      <c r="F104" s="35" t="s">
        <v>215</v>
      </c>
      <c r="G104" s="35"/>
      <c r="H104" s="27"/>
    </row>
    <row r="105">
      <c r="B105" s="21">
        <v>100.0</v>
      </c>
      <c r="C105" s="35" t="s">
        <v>341</v>
      </c>
      <c r="D105" s="26" t="s">
        <v>267</v>
      </c>
      <c r="E105" s="34" t="s">
        <v>268</v>
      </c>
      <c r="F105" s="35" t="s">
        <v>215</v>
      </c>
      <c r="G105" s="35"/>
      <c r="H105" s="27"/>
    </row>
    <row r="106">
      <c r="B106" s="21">
        <v>101.0</v>
      </c>
      <c r="C106" s="26" t="s">
        <v>342</v>
      </c>
      <c r="D106" s="26" t="s">
        <v>230</v>
      </c>
      <c r="E106" s="22" t="s">
        <v>205</v>
      </c>
      <c r="F106" s="35" t="s">
        <v>215</v>
      </c>
      <c r="G106" s="16" t="s">
        <v>281</v>
      </c>
      <c r="H106" s="27"/>
    </row>
    <row r="107">
      <c r="B107" s="21">
        <v>102.0</v>
      </c>
      <c r="C107" s="26" t="s">
        <v>343</v>
      </c>
      <c r="D107" s="26" t="s">
        <v>267</v>
      </c>
      <c r="E107" s="34" t="s">
        <v>268</v>
      </c>
      <c r="F107" s="35" t="s">
        <v>215</v>
      </c>
      <c r="G107" s="16" t="s">
        <v>281</v>
      </c>
      <c r="H107" s="27"/>
    </row>
    <row r="108">
      <c r="B108" s="21">
        <v>103.0</v>
      </c>
      <c r="C108" s="35" t="s">
        <v>344</v>
      </c>
      <c r="D108" s="26" t="s">
        <v>267</v>
      </c>
      <c r="E108" s="34" t="s">
        <v>268</v>
      </c>
      <c r="F108" s="35" t="s">
        <v>206</v>
      </c>
      <c r="G108" s="35"/>
      <c r="H108" s="27"/>
    </row>
    <row r="109">
      <c r="B109" s="21">
        <v>104.0</v>
      </c>
      <c r="C109" s="26" t="s">
        <v>345</v>
      </c>
      <c r="D109" s="26" t="s">
        <v>267</v>
      </c>
      <c r="E109" s="34" t="s">
        <v>268</v>
      </c>
      <c r="F109" s="35" t="s">
        <v>206</v>
      </c>
      <c r="G109" s="35"/>
      <c r="H109" s="27" t="s">
        <v>242</v>
      </c>
    </row>
    <row r="110">
      <c r="B110" s="21">
        <v>105.0</v>
      </c>
      <c r="C110" s="35" t="s">
        <v>346</v>
      </c>
      <c r="D110" s="26" t="s">
        <v>267</v>
      </c>
      <c r="E110" s="34" t="s">
        <v>268</v>
      </c>
      <c r="F110" s="35" t="s">
        <v>215</v>
      </c>
      <c r="G110" s="35"/>
      <c r="H110" s="27" t="s">
        <v>242</v>
      </c>
    </row>
    <row r="111">
      <c r="B111" s="21">
        <v>106.0</v>
      </c>
      <c r="C111" s="35" t="s">
        <v>347</v>
      </c>
      <c r="D111" s="26" t="s">
        <v>267</v>
      </c>
      <c r="E111" s="34" t="s">
        <v>268</v>
      </c>
      <c r="F111" s="35" t="s">
        <v>215</v>
      </c>
      <c r="G111" s="35"/>
    </row>
    <row r="112">
      <c r="B112" s="21">
        <v>107.0</v>
      </c>
      <c r="C112" s="35" t="s">
        <v>348</v>
      </c>
      <c r="D112" s="26" t="s">
        <v>230</v>
      </c>
      <c r="E112" s="22" t="s">
        <v>205</v>
      </c>
      <c r="F112" s="35" t="s">
        <v>206</v>
      </c>
      <c r="G112" s="35"/>
      <c r="H112" s="27"/>
    </row>
    <row r="113">
      <c r="B113" s="21">
        <v>108.0</v>
      </c>
      <c r="C113" s="35" t="s">
        <v>349</v>
      </c>
      <c r="D113" s="26" t="s">
        <v>267</v>
      </c>
      <c r="E113" s="34" t="s">
        <v>268</v>
      </c>
      <c r="F113" s="35" t="s">
        <v>206</v>
      </c>
      <c r="G113" s="35"/>
      <c r="H113" s="27"/>
    </row>
    <row r="114">
      <c r="B114" s="21">
        <v>109.0</v>
      </c>
      <c r="C114" s="35" t="s">
        <v>244</v>
      </c>
      <c r="D114" s="26" t="s">
        <v>12</v>
      </c>
      <c r="E114" s="24" t="s">
        <v>211</v>
      </c>
      <c r="F114" s="35" t="s">
        <v>215</v>
      </c>
      <c r="G114" s="35"/>
      <c r="H114" s="27"/>
    </row>
    <row r="115">
      <c r="B115" s="21">
        <v>110.0</v>
      </c>
      <c r="C115" s="35" t="s">
        <v>350</v>
      </c>
      <c r="D115" s="26" t="s">
        <v>230</v>
      </c>
      <c r="E115" s="22" t="s">
        <v>205</v>
      </c>
      <c r="F115" s="35" t="s">
        <v>215</v>
      </c>
      <c r="G115" s="35"/>
      <c r="H115" s="27"/>
    </row>
    <row r="116">
      <c r="B116" s="21">
        <v>111.0</v>
      </c>
      <c r="C116" s="35" t="s">
        <v>351</v>
      </c>
      <c r="D116" s="26" t="s">
        <v>267</v>
      </c>
      <c r="E116" s="34" t="s">
        <v>268</v>
      </c>
      <c r="F116" s="35" t="s">
        <v>215</v>
      </c>
      <c r="G116" s="35"/>
      <c r="H116" s="27"/>
    </row>
    <row r="117">
      <c r="B117" s="21">
        <v>112.0</v>
      </c>
      <c r="C117" s="35" t="s">
        <v>352</v>
      </c>
      <c r="D117" s="26" t="s">
        <v>267</v>
      </c>
      <c r="E117" s="34" t="s">
        <v>268</v>
      </c>
      <c r="F117" s="35" t="s">
        <v>206</v>
      </c>
      <c r="G117" s="35"/>
      <c r="H117" s="27"/>
    </row>
    <row r="118">
      <c r="B118" s="21">
        <v>113.0</v>
      </c>
      <c r="C118" s="35" t="s">
        <v>353</v>
      </c>
      <c r="D118" s="26" t="s">
        <v>267</v>
      </c>
      <c r="E118" s="34" t="s">
        <v>268</v>
      </c>
      <c r="F118" s="35" t="s">
        <v>206</v>
      </c>
      <c r="G118" s="35"/>
      <c r="H118" s="27"/>
    </row>
    <row r="119">
      <c r="B119" s="21">
        <v>114.0</v>
      </c>
      <c r="C119" s="35" t="s">
        <v>354</v>
      </c>
      <c r="D119" s="26" t="s">
        <v>267</v>
      </c>
      <c r="E119" s="34" t="s">
        <v>268</v>
      </c>
      <c r="F119" s="26" t="s">
        <v>206</v>
      </c>
      <c r="G119" s="26"/>
      <c r="H119" s="27"/>
    </row>
    <row r="120">
      <c r="B120" s="21">
        <v>115.0</v>
      </c>
      <c r="C120" s="35" t="s">
        <v>355</v>
      </c>
      <c r="D120" s="26" t="s">
        <v>230</v>
      </c>
      <c r="E120" s="34" t="s">
        <v>356</v>
      </c>
      <c r="F120" s="26" t="s">
        <v>215</v>
      </c>
      <c r="G120" s="26"/>
      <c r="H120" s="27"/>
    </row>
    <row r="121">
      <c r="B121" s="21">
        <v>116.0</v>
      </c>
      <c r="C121" s="35" t="s">
        <v>357</v>
      </c>
      <c r="D121" s="26" t="s">
        <v>230</v>
      </c>
      <c r="E121" s="22" t="s">
        <v>211</v>
      </c>
      <c r="F121" s="26" t="s">
        <v>215</v>
      </c>
      <c r="G121" s="26"/>
      <c r="H121" s="27"/>
    </row>
    <row r="122">
      <c r="B122" s="21">
        <v>117.0</v>
      </c>
      <c r="C122" s="35" t="s">
        <v>358</v>
      </c>
      <c r="D122" s="26" t="s">
        <v>267</v>
      </c>
      <c r="E122" s="34" t="s">
        <v>268</v>
      </c>
      <c r="F122" s="26" t="s">
        <v>215</v>
      </c>
      <c r="G122" s="26"/>
      <c r="H122" s="27"/>
    </row>
    <row r="123">
      <c r="B123" s="21">
        <v>118.0</v>
      </c>
      <c r="C123" s="35" t="s">
        <v>359</v>
      </c>
      <c r="D123" s="26" t="s">
        <v>267</v>
      </c>
      <c r="E123" s="34" t="s">
        <v>268</v>
      </c>
      <c r="F123" s="26" t="s">
        <v>215</v>
      </c>
      <c r="G123" s="26"/>
      <c r="H123" s="27"/>
    </row>
    <row r="124">
      <c r="B124" s="21">
        <v>119.0</v>
      </c>
      <c r="C124" s="35" t="s">
        <v>360</v>
      </c>
      <c r="D124" s="26" t="s">
        <v>267</v>
      </c>
      <c r="E124" s="34" t="s">
        <v>268</v>
      </c>
      <c r="F124" s="26" t="s">
        <v>215</v>
      </c>
      <c r="G124" s="26"/>
      <c r="H124" s="27"/>
    </row>
    <row r="125">
      <c r="B125" s="21">
        <v>120.0</v>
      </c>
      <c r="C125" s="26" t="s">
        <v>361</v>
      </c>
      <c r="D125" s="26" t="s">
        <v>267</v>
      </c>
      <c r="E125" s="34" t="s">
        <v>268</v>
      </c>
      <c r="F125" s="26" t="s">
        <v>215</v>
      </c>
      <c r="G125" s="26"/>
      <c r="H125" s="27"/>
    </row>
    <row r="126">
      <c r="B126" s="21">
        <v>121.0</v>
      </c>
      <c r="C126" s="26" t="s">
        <v>362</v>
      </c>
      <c r="D126" s="26" t="s">
        <v>230</v>
      </c>
      <c r="E126" s="22" t="s">
        <v>205</v>
      </c>
      <c r="F126" s="26" t="s">
        <v>215</v>
      </c>
      <c r="G126" s="26"/>
      <c r="H126" s="27"/>
    </row>
    <row r="127">
      <c r="B127" s="21">
        <v>122.0</v>
      </c>
      <c r="C127" s="29" t="s">
        <v>363</v>
      </c>
      <c r="D127" s="26" t="s">
        <v>267</v>
      </c>
      <c r="E127" s="34" t="s">
        <v>268</v>
      </c>
      <c r="F127" s="26" t="s">
        <v>206</v>
      </c>
      <c r="G127" s="26"/>
      <c r="H127" s="27"/>
    </row>
    <row r="128">
      <c r="B128" s="21">
        <v>123.0</v>
      </c>
      <c r="C128" s="35" t="s">
        <v>364</v>
      </c>
      <c r="D128" s="26" t="s">
        <v>230</v>
      </c>
      <c r="E128" s="22" t="s">
        <v>205</v>
      </c>
      <c r="F128" s="26" t="s">
        <v>206</v>
      </c>
      <c r="G128" s="26"/>
      <c r="H128" s="27"/>
    </row>
    <row r="129">
      <c r="B129" s="21">
        <v>124.0</v>
      </c>
      <c r="C129" s="35" t="s">
        <v>365</v>
      </c>
      <c r="D129" s="26" t="s">
        <v>230</v>
      </c>
      <c r="E129" s="24" t="s">
        <v>211</v>
      </c>
      <c r="F129" s="26" t="s">
        <v>206</v>
      </c>
      <c r="G129" s="26"/>
      <c r="H129" s="27"/>
    </row>
    <row r="130">
      <c r="B130" s="21">
        <v>125.0</v>
      </c>
      <c r="C130" s="35" t="s">
        <v>366</v>
      </c>
      <c r="D130" s="26" t="s">
        <v>230</v>
      </c>
      <c r="E130" s="22" t="s">
        <v>205</v>
      </c>
      <c r="F130" s="26" t="s">
        <v>206</v>
      </c>
      <c r="G130" s="26"/>
      <c r="H130" s="27"/>
    </row>
    <row r="131">
      <c r="B131" s="21">
        <v>126.0</v>
      </c>
      <c r="C131" s="35" t="s">
        <v>367</v>
      </c>
      <c r="D131" s="26" t="s">
        <v>267</v>
      </c>
      <c r="E131" s="34" t="s">
        <v>268</v>
      </c>
      <c r="F131" s="26" t="s">
        <v>206</v>
      </c>
      <c r="G131" s="26"/>
      <c r="H131" s="27"/>
    </row>
    <row r="132">
      <c r="B132" s="21">
        <v>127.0</v>
      </c>
      <c r="C132" s="35" t="s">
        <v>368</v>
      </c>
      <c r="D132" s="26" t="s">
        <v>267</v>
      </c>
      <c r="E132" s="34" t="s">
        <v>268</v>
      </c>
      <c r="F132" s="26" t="s">
        <v>215</v>
      </c>
      <c r="G132" s="26"/>
      <c r="H132" s="27"/>
    </row>
    <row r="133">
      <c r="B133" s="21">
        <v>128.0</v>
      </c>
      <c r="C133" s="35" t="s">
        <v>369</v>
      </c>
      <c r="D133" s="26" t="s">
        <v>267</v>
      </c>
      <c r="E133" s="34" t="s">
        <v>268</v>
      </c>
      <c r="F133" s="26" t="s">
        <v>206</v>
      </c>
      <c r="G133" s="26"/>
      <c r="H133" s="27"/>
    </row>
    <row r="134">
      <c r="B134" s="21">
        <v>129.0</v>
      </c>
      <c r="C134" s="26" t="s">
        <v>370</v>
      </c>
      <c r="D134" s="26" t="s">
        <v>267</v>
      </c>
      <c r="E134" s="34" t="s">
        <v>268</v>
      </c>
      <c r="F134" s="26" t="s">
        <v>206</v>
      </c>
      <c r="G134" s="16" t="s">
        <v>281</v>
      </c>
      <c r="H134" s="27"/>
    </row>
    <row r="135">
      <c r="B135" s="21">
        <v>130.0</v>
      </c>
      <c r="C135" s="35" t="s">
        <v>371</v>
      </c>
      <c r="D135" s="26" t="s">
        <v>267</v>
      </c>
      <c r="E135" s="34" t="s">
        <v>268</v>
      </c>
      <c r="F135" s="26" t="s">
        <v>206</v>
      </c>
      <c r="G135" s="26"/>
      <c r="H135" s="27"/>
    </row>
    <row r="136">
      <c r="B136" s="21">
        <v>131.0</v>
      </c>
      <c r="C136" s="35" t="s">
        <v>372</v>
      </c>
      <c r="D136" s="26" t="s">
        <v>267</v>
      </c>
      <c r="E136" s="34" t="s">
        <v>268</v>
      </c>
      <c r="F136" s="26" t="s">
        <v>215</v>
      </c>
      <c r="G136" s="26"/>
      <c r="H136" s="27" t="s">
        <v>242</v>
      </c>
    </row>
    <row r="137">
      <c r="B137" s="21">
        <v>132.0</v>
      </c>
      <c r="C137" s="35" t="s">
        <v>373</v>
      </c>
      <c r="D137" s="29" t="s">
        <v>230</v>
      </c>
      <c r="E137" s="22" t="s">
        <v>205</v>
      </c>
      <c r="F137" s="29" t="s">
        <v>215</v>
      </c>
      <c r="G137" s="29"/>
      <c r="H137" s="30" t="s">
        <v>206</v>
      </c>
    </row>
    <row r="138">
      <c r="B138" s="21">
        <v>133.0</v>
      </c>
      <c r="C138" s="35" t="s">
        <v>374</v>
      </c>
      <c r="D138" s="26" t="s">
        <v>267</v>
      </c>
      <c r="E138" s="34" t="s">
        <v>268</v>
      </c>
      <c r="F138" s="26" t="s">
        <v>215</v>
      </c>
      <c r="G138" s="26"/>
      <c r="H138" s="27"/>
    </row>
    <row r="139">
      <c r="B139" s="21">
        <v>134.0</v>
      </c>
      <c r="C139" s="35" t="s">
        <v>375</v>
      </c>
      <c r="D139" s="26" t="s">
        <v>267</v>
      </c>
      <c r="E139" s="34" t="s">
        <v>268</v>
      </c>
      <c r="F139" s="26" t="s">
        <v>215</v>
      </c>
      <c r="G139" s="26"/>
      <c r="H139" s="27"/>
    </row>
    <row r="140">
      <c r="B140" s="21">
        <v>135.0</v>
      </c>
      <c r="C140" s="35" t="s">
        <v>376</v>
      </c>
      <c r="D140" s="26" t="s">
        <v>267</v>
      </c>
      <c r="E140" s="34" t="s">
        <v>268</v>
      </c>
      <c r="F140" s="26" t="s">
        <v>206</v>
      </c>
      <c r="G140" s="26"/>
      <c r="H140" s="27"/>
    </row>
    <row r="141">
      <c r="B141" s="21">
        <v>136.0</v>
      </c>
      <c r="C141" s="35" t="s">
        <v>377</v>
      </c>
      <c r="D141" s="26" t="s">
        <v>267</v>
      </c>
      <c r="E141" s="34" t="s">
        <v>268</v>
      </c>
      <c r="F141" s="26" t="s">
        <v>215</v>
      </c>
      <c r="G141" s="26"/>
      <c r="H141" s="27" t="s">
        <v>242</v>
      </c>
    </row>
    <row r="142">
      <c r="B142" s="21">
        <v>137.0</v>
      </c>
      <c r="C142" s="26" t="s">
        <v>378</v>
      </c>
      <c r="D142" s="26" t="s">
        <v>204</v>
      </c>
      <c r="E142" s="22" t="s">
        <v>205</v>
      </c>
      <c r="F142" s="26" t="s">
        <v>215</v>
      </c>
      <c r="G142" s="16" t="s">
        <v>281</v>
      </c>
      <c r="H142" s="27"/>
    </row>
    <row r="143">
      <c r="B143" s="21">
        <v>138.0</v>
      </c>
      <c r="C143" s="26" t="s">
        <v>379</v>
      </c>
      <c r="D143" s="26" t="s">
        <v>267</v>
      </c>
      <c r="E143" s="34" t="s">
        <v>268</v>
      </c>
      <c r="F143" s="26" t="s">
        <v>206</v>
      </c>
      <c r="G143" s="16" t="s">
        <v>281</v>
      </c>
      <c r="H143" s="27"/>
    </row>
    <row r="144">
      <c r="B144" s="21">
        <v>139.0</v>
      </c>
      <c r="C144" s="35" t="s">
        <v>380</v>
      </c>
      <c r="D144" s="26" t="s">
        <v>267</v>
      </c>
      <c r="E144" s="34" t="s">
        <v>268</v>
      </c>
      <c r="F144" s="26" t="s">
        <v>206</v>
      </c>
      <c r="G144" s="26"/>
      <c r="H144" s="27"/>
    </row>
    <row r="145">
      <c r="B145" s="21">
        <v>140.0</v>
      </c>
      <c r="C145" s="35" t="s">
        <v>381</v>
      </c>
      <c r="D145" s="26" t="s">
        <v>267</v>
      </c>
      <c r="E145" s="34" t="s">
        <v>268</v>
      </c>
      <c r="F145" s="26" t="s">
        <v>206</v>
      </c>
      <c r="G145" s="26"/>
      <c r="H145" s="27"/>
    </row>
    <row r="146">
      <c r="B146" s="21">
        <v>141.0</v>
      </c>
      <c r="C146" s="35" t="s">
        <v>382</v>
      </c>
      <c r="D146" s="26" t="s">
        <v>267</v>
      </c>
      <c r="E146" s="34" t="s">
        <v>268</v>
      </c>
      <c r="F146" s="26" t="s">
        <v>206</v>
      </c>
      <c r="G146" s="26"/>
      <c r="H146" s="27"/>
    </row>
    <row r="147">
      <c r="B147" s="21">
        <v>142.0</v>
      </c>
      <c r="C147" s="35" t="s">
        <v>383</v>
      </c>
      <c r="D147" s="26" t="s">
        <v>267</v>
      </c>
      <c r="E147" s="34" t="s">
        <v>268</v>
      </c>
      <c r="F147" s="26" t="s">
        <v>206</v>
      </c>
      <c r="G147" s="26" t="s">
        <v>223</v>
      </c>
      <c r="H147" s="27"/>
    </row>
    <row r="148">
      <c r="B148" s="21">
        <v>143.0</v>
      </c>
      <c r="C148" s="35" t="s">
        <v>384</v>
      </c>
      <c r="D148" s="26" t="s">
        <v>267</v>
      </c>
      <c r="E148" s="34" t="s">
        <v>268</v>
      </c>
      <c r="F148" s="26" t="s">
        <v>206</v>
      </c>
      <c r="G148" s="26"/>
      <c r="H148" s="27"/>
    </row>
    <row r="149">
      <c r="B149" s="21">
        <v>144.0</v>
      </c>
      <c r="C149" s="35" t="s">
        <v>385</v>
      </c>
      <c r="D149" s="26" t="s">
        <v>267</v>
      </c>
      <c r="E149" s="34" t="s">
        <v>268</v>
      </c>
      <c r="F149" s="26" t="s">
        <v>206</v>
      </c>
      <c r="G149" s="26"/>
      <c r="H149" s="27"/>
    </row>
    <row r="150">
      <c r="B150" s="21">
        <v>145.0</v>
      </c>
      <c r="C150" s="35" t="s">
        <v>386</v>
      </c>
      <c r="D150" s="26" t="s">
        <v>267</v>
      </c>
      <c r="E150" s="34" t="s">
        <v>268</v>
      </c>
      <c r="F150" s="26" t="s">
        <v>206</v>
      </c>
      <c r="G150" s="26"/>
      <c r="H150" s="27"/>
    </row>
    <row r="151">
      <c r="B151" s="21">
        <v>146.0</v>
      </c>
      <c r="C151" s="35" t="s">
        <v>387</v>
      </c>
      <c r="D151" s="26" t="s">
        <v>267</v>
      </c>
      <c r="E151" s="34" t="s">
        <v>268</v>
      </c>
      <c r="F151" s="26" t="s">
        <v>206</v>
      </c>
      <c r="G151" s="26"/>
      <c r="H151" s="27"/>
    </row>
    <row r="152">
      <c r="B152" s="21">
        <v>147.0</v>
      </c>
      <c r="C152" s="35" t="s">
        <v>388</v>
      </c>
      <c r="D152" s="26" t="s">
        <v>267</v>
      </c>
      <c r="E152" s="34" t="s">
        <v>268</v>
      </c>
      <c r="F152" s="26" t="s">
        <v>215</v>
      </c>
      <c r="G152" s="26"/>
      <c r="H152" s="27"/>
    </row>
    <row r="153">
      <c r="B153" s="21">
        <v>148.0</v>
      </c>
      <c r="C153" s="35" t="s">
        <v>389</v>
      </c>
      <c r="D153" s="26" t="s">
        <v>267</v>
      </c>
      <c r="E153" s="34" t="s">
        <v>268</v>
      </c>
      <c r="F153" s="26" t="s">
        <v>215</v>
      </c>
      <c r="G153" s="26"/>
      <c r="H153" s="27"/>
    </row>
    <row r="154">
      <c r="B154" s="21">
        <v>149.0</v>
      </c>
      <c r="C154" s="26" t="s">
        <v>390</v>
      </c>
      <c r="D154" s="26" t="s">
        <v>230</v>
      </c>
      <c r="E154" s="22" t="s">
        <v>205</v>
      </c>
      <c r="F154" s="26" t="s">
        <v>215</v>
      </c>
      <c r="G154" s="26"/>
      <c r="H154" s="27"/>
    </row>
    <row r="155">
      <c r="B155" s="21">
        <v>150.0</v>
      </c>
      <c r="C155" s="35" t="s">
        <v>391</v>
      </c>
      <c r="D155" s="26" t="s">
        <v>230</v>
      </c>
      <c r="E155" s="22" t="s">
        <v>205</v>
      </c>
      <c r="F155" s="26" t="s">
        <v>206</v>
      </c>
      <c r="G155" s="26"/>
      <c r="H155" s="27"/>
    </row>
    <row r="156">
      <c r="B156" s="21">
        <v>151.0</v>
      </c>
      <c r="C156" s="35" t="s">
        <v>392</v>
      </c>
      <c r="D156" s="26" t="s">
        <v>230</v>
      </c>
      <c r="E156" s="22" t="s">
        <v>205</v>
      </c>
      <c r="F156" s="26" t="s">
        <v>215</v>
      </c>
      <c r="G156" s="26"/>
      <c r="H156" s="27"/>
    </row>
    <row r="157">
      <c r="B157" s="21">
        <v>152.0</v>
      </c>
      <c r="C157" s="35" t="s">
        <v>393</v>
      </c>
      <c r="D157" s="26" t="s">
        <v>230</v>
      </c>
      <c r="E157" s="22" t="s">
        <v>205</v>
      </c>
      <c r="F157" s="26" t="s">
        <v>206</v>
      </c>
      <c r="G157" s="26"/>
      <c r="H157" s="27"/>
    </row>
    <row r="158">
      <c r="B158" s="21">
        <v>153.0</v>
      </c>
      <c r="C158" s="35" t="s">
        <v>394</v>
      </c>
      <c r="D158" s="26" t="s">
        <v>230</v>
      </c>
      <c r="E158" s="22" t="s">
        <v>205</v>
      </c>
      <c r="F158" s="26" t="s">
        <v>215</v>
      </c>
      <c r="G158" s="26"/>
      <c r="H158" s="27"/>
    </row>
    <row r="159">
      <c r="B159" s="21">
        <v>154.0</v>
      </c>
      <c r="C159" s="35" t="s">
        <v>395</v>
      </c>
      <c r="D159" s="26" t="s">
        <v>230</v>
      </c>
      <c r="E159" s="22" t="s">
        <v>205</v>
      </c>
      <c r="F159" s="26" t="s">
        <v>206</v>
      </c>
      <c r="G159" s="26"/>
      <c r="H159" s="27"/>
    </row>
    <row r="160">
      <c r="B160" s="21">
        <v>155.0</v>
      </c>
      <c r="C160" s="35" t="s">
        <v>396</v>
      </c>
      <c r="D160" s="26" t="s">
        <v>267</v>
      </c>
      <c r="E160" s="34" t="s">
        <v>268</v>
      </c>
      <c r="F160" s="26" t="s">
        <v>215</v>
      </c>
      <c r="G160" s="26"/>
      <c r="H160" s="27"/>
    </row>
    <row r="161">
      <c r="B161" s="21">
        <v>156.0</v>
      </c>
      <c r="C161" s="35" t="s">
        <v>397</v>
      </c>
      <c r="D161" s="26" t="s">
        <v>267</v>
      </c>
      <c r="E161" s="34" t="s">
        <v>268</v>
      </c>
      <c r="F161" s="26" t="s">
        <v>206</v>
      </c>
      <c r="G161" s="26"/>
      <c r="H161" s="27"/>
    </row>
    <row r="162">
      <c r="B162" s="21">
        <v>157.0</v>
      </c>
      <c r="C162" s="35" t="s">
        <v>398</v>
      </c>
      <c r="D162" s="26" t="s">
        <v>230</v>
      </c>
      <c r="E162" s="22" t="s">
        <v>205</v>
      </c>
      <c r="F162" s="26" t="s">
        <v>215</v>
      </c>
      <c r="G162" s="26"/>
      <c r="H162" s="27" t="s">
        <v>273</v>
      </c>
    </row>
    <row r="163">
      <c r="B163" s="21">
        <v>158.0</v>
      </c>
      <c r="C163" s="35" t="s">
        <v>399</v>
      </c>
      <c r="D163" s="26" t="s">
        <v>267</v>
      </c>
      <c r="E163" s="34" t="s">
        <v>268</v>
      </c>
      <c r="F163" s="26" t="s">
        <v>215</v>
      </c>
      <c r="G163" s="26"/>
      <c r="H163" s="27" t="s">
        <v>242</v>
      </c>
    </row>
    <row r="164">
      <c r="B164" s="21">
        <v>159.0</v>
      </c>
      <c r="C164" s="35" t="s">
        <v>400</v>
      </c>
      <c r="D164" s="26" t="s">
        <v>267</v>
      </c>
      <c r="E164" s="34" t="s">
        <v>268</v>
      </c>
      <c r="F164" s="26" t="s">
        <v>215</v>
      </c>
      <c r="G164" s="26"/>
      <c r="H164" s="27" t="s">
        <v>242</v>
      </c>
    </row>
    <row r="165">
      <c r="B165" s="21">
        <v>160.0</v>
      </c>
      <c r="C165" s="35" t="s">
        <v>401</v>
      </c>
      <c r="D165" s="26" t="s">
        <v>267</v>
      </c>
      <c r="E165" s="34" t="s">
        <v>268</v>
      </c>
      <c r="F165" s="26" t="s">
        <v>215</v>
      </c>
      <c r="G165" s="26"/>
      <c r="H165" s="27" t="s">
        <v>242</v>
      </c>
    </row>
    <row r="166">
      <c r="B166" s="21">
        <v>161.0</v>
      </c>
      <c r="C166" s="29" t="s">
        <v>402</v>
      </c>
      <c r="D166" s="26" t="s">
        <v>267</v>
      </c>
      <c r="E166" s="34" t="s">
        <v>268</v>
      </c>
      <c r="F166" s="26" t="s">
        <v>215</v>
      </c>
      <c r="G166" s="26"/>
      <c r="H166" s="27" t="s">
        <v>242</v>
      </c>
    </row>
    <row r="167">
      <c r="B167" s="21">
        <v>162.0</v>
      </c>
      <c r="C167" s="35" t="s">
        <v>252</v>
      </c>
      <c r="D167" s="26" t="s">
        <v>230</v>
      </c>
      <c r="E167" s="22" t="s">
        <v>211</v>
      </c>
      <c r="F167" s="26" t="s">
        <v>215</v>
      </c>
      <c r="G167" s="26"/>
      <c r="H167" s="27"/>
    </row>
    <row r="168">
      <c r="B168" s="21">
        <v>163.0</v>
      </c>
      <c r="C168" s="35" t="s">
        <v>403</v>
      </c>
      <c r="D168" s="26" t="s">
        <v>230</v>
      </c>
      <c r="E168" s="22" t="s">
        <v>205</v>
      </c>
      <c r="F168" s="26" t="s">
        <v>215</v>
      </c>
      <c r="G168" s="26"/>
      <c r="H168" s="27"/>
    </row>
    <row r="169">
      <c r="B169" s="21">
        <v>164.0</v>
      </c>
      <c r="C169" s="35" t="s">
        <v>404</v>
      </c>
      <c r="D169" s="26" t="s">
        <v>230</v>
      </c>
      <c r="E169" s="22" t="s">
        <v>211</v>
      </c>
      <c r="F169" s="26" t="s">
        <v>215</v>
      </c>
      <c r="G169" s="26"/>
      <c r="H169" s="27"/>
    </row>
    <row r="170">
      <c r="B170" s="21">
        <v>165.0</v>
      </c>
      <c r="C170" s="35" t="s">
        <v>405</v>
      </c>
      <c r="D170" s="26" t="s">
        <v>230</v>
      </c>
      <c r="E170" s="22" t="s">
        <v>205</v>
      </c>
      <c r="F170" s="26" t="s">
        <v>215</v>
      </c>
      <c r="G170" s="26"/>
      <c r="H170" s="27"/>
    </row>
    <row r="171">
      <c r="B171" s="21">
        <v>166.0</v>
      </c>
      <c r="C171" s="35" t="s">
        <v>406</v>
      </c>
      <c r="D171" s="26" t="s">
        <v>267</v>
      </c>
      <c r="E171" s="22" t="s">
        <v>268</v>
      </c>
      <c r="F171" s="26" t="s">
        <v>215</v>
      </c>
      <c r="G171" s="26"/>
      <c r="H171" s="27"/>
    </row>
    <row r="172">
      <c r="B172" s="21">
        <v>167.0</v>
      </c>
      <c r="C172" s="35" t="s">
        <v>407</v>
      </c>
      <c r="D172" s="26" t="s">
        <v>267</v>
      </c>
      <c r="E172" s="34" t="s">
        <v>268</v>
      </c>
      <c r="F172" s="26" t="s">
        <v>206</v>
      </c>
      <c r="G172" s="26" t="s">
        <v>223</v>
      </c>
      <c r="H172" s="27"/>
    </row>
    <row r="173">
      <c r="B173" s="21">
        <v>168.0</v>
      </c>
      <c r="C173" s="35" t="s">
        <v>408</v>
      </c>
      <c r="D173" s="26" t="s">
        <v>267</v>
      </c>
      <c r="E173" s="34" t="s">
        <v>268</v>
      </c>
      <c r="F173" s="26" t="s">
        <v>215</v>
      </c>
      <c r="G173" s="26"/>
      <c r="H173" s="27"/>
    </row>
    <row r="174">
      <c r="B174" s="21">
        <v>169.0</v>
      </c>
      <c r="C174" s="26" t="s">
        <v>409</v>
      </c>
      <c r="D174" s="26" t="s">
        <v>267</v>
      </c>
      <c r="E174" s="34" t="s">
        <v>268</v>
      </c>
      <c r="F174" s="26" t="s">
        <v>206</v>
      </c>
      <c r="G174" s="26" t="s">
        <v>223</v>
      </c>
      <c r="H174" s="27"/>
    </row>
    <row r="175">
      <c r="B175" s="21">
        <v>170.0</v>
      </c>
      <c r="C175" s="26" t="s">
        <v>410</v>
      </c>
      <c r="D175" s="26" t="s">
        <v>267</v>
      </c>
      <c r="E175" s="34" t="s">
        <v>268</v>
      </c>
      <c r="F175" s="26" t="s">
        <v>215</v>
      </c>
      <c r="G175" s="26"/>
      <c r="H175" s="27"/>
    </row>
    <row r="176">
      <c r="B176" s="21">
        <v>171.0</v>
      </c>
      <c r="C176" s="26" t="s">
        <v>411</v>
      </c>
      <c r="D176" s="26" t="s">
        <v>267</v>
      </c>
      <c r="E176" s="22" t="s">
        <v>268</v>
      </c>
      <c r="F176" s="26" t="s">
        <v>215</v>
      </c>
      <c r="G176" s="26"/>
      <c r="H176" s="27"/>
    </row>
    <row r="177">
      <c r="B177" s="21">
        <v>172.0</v>
      </c>
      <c r="C177" s="35" t="s">
        <v>412</v>
      </c>
      <c r="D177" s="26" t="s">
        <v>267</v>
      </c>
      <c r="E177" s="34" t="s">
        <v>268</v>
      </c>
      <c r="F177" s="26" t="s">
        <v>215</v>
      </c>
      <c r="G177" s="26"/>
      <c r="H177" s="27"/>
    </row>
    <row r="178">
      <c r="B178" s="21">
        <v>173.0</v>
      </c>
      <c r="C178" s="35" t="s">
        <v>413</v>
      </c>
      <c r="D178" s="26" t="s">
        <v>267</v>
      </c>
      <c r="E178" s="34" t="s">
        <v>268</v>
      </c>
      <c r="F178" s="26" t="s">
        <v>215</v>
      </c>
      <c r="G178" s="26"/>
      <c r="H178" s="27"/>
    </row>
    <row r="179">
      <c r="B179" s="21">
        <v>174.0</v>
      </c>
      <c r="C179" s="35" t="s">
        <v>414</v>
      </c>
      <c r="D179" s="26" t="s">
        <v>267</v>
      </c>
      <c r="E179" s="34" t="s">
        <v>268</v>
      </c>
      <c r="F179" s="26" t="s">
        <v>215</v>
      </c>
      <c r="G179" s="26"/>
      <c r="H179" s="27"/>
    </row>
    <row r="180">
      <c r="B180" s="21">
        <v>175.0</v>
      </c>
      <c r="C180" s="35" t="s">
        <v>415</v>
      </c>
      <c r="D180" s="26" t="s">
        <v>267</v>
      </c>
      <c r="E180" s="34" t="s">
        <v>268</v>
      </c>
      <c r="F180" s="26" t="s">
        <v>206</v>
      </c>
      <c r="G180" s="26"/>
      <c r="H180" s="27"/>
    </row>
    <row r="181">
      <c r="B181" s="21">
        <v>176.0</v>
      </c>
      <c r="C181" s="35" t="s">
        <v>416</v>
      </c>
      <c r="D181" s="26" t="s">
        <v>267</v>
      </c>
      <c r="E181" s="34" t="s">
        <v>268</v>
      </c>
      <c r="F181" s="26" t="s">
        <v>206</v>
      </c>
      <c r="G181" s="26"/>
      <c r="H181" s="27"/>
    </row>
    <row r="182">
      <c r="B182" s="21">
        <v>177.0</v>
      </c>
      <c r="C182" s="35" t="s">
        <v>417</v>
      </c>
      <c r="D182" s="26" t="s">
        <v>267</v>
      </c>
      <c r="E182" s="34" t="s">
        <v>268</v>
      </c>
      <c r="F182" s="26" t="s">
        <v>206</v>
      </c>
      <c r="G182" s="26"/>
      <c r="H182" s="27"/>
    </row>
    <row r="183">
      <c r="B183" s="21">
        <v>178.0</v>
      </c>
      <c r="C183" s="35" t="s">
        <v>418</v>
      </c>
      <c r="D183" s="26" t="s">
        <v>267</v>
      </c>
      <c r="E183" s="34" t="s">
        <v>268</v>
      </c>
      <c r="F183" s="26" t="s">
        <v>206</v>
      </c>
      <c r="G183" s="26"/>
      <c r="H183" s="27"/>
    </row>
    <row r="184">
      <c r="B184" s="21">
        <v>179.0</v>
      </c>
      <c r="C184" s="35" t="s">
        <v>419</v>
      </c>
      <c r="D184" s="26" t="s">
        <v>267</v>
      </c>
      <c r="E184" s="34" t="s">
        <v>268</v>
      </c>
      <c r="F184" s="26" t="s">
        <v>215</v>
      </c>
      <c r="G184" s="26"/>
      <c r="H184" s="27"/>
    </row>
    <row r="185">
      <c r="B185" s="21">
        <v>180.0</v>
      </c>
      <c r="C185" s="35" t="s">
        <v>420</v>
      </c>
      <c r="D185" s="26" t="s">
        <v>267</v>
      </c>
      <c r="E185" s="34" t="s">
        <v>268</v>
      </c>
      <c r="F185" s="26" t="s">
        <v>206</v>
      </c>
      <c r="G185" s="26"/>
      <c r="H185" s="27"/>
    </row>
    <row r="186">
      <c r="B186" s="21">
        <v>181.0</v>
      </c>
      <c r="C186" s="35" t="s">
        <v>421</v>
      </c>
      <c r="D186" s="26" t="s">
        <v>267</v>
      </c>
      <c r="E186" s="34" t="s">
        <v>268</v>
      </c>
      <c r="F186" s="26" t="s">
        <v>206</v>
      </c>
      <c r="G186" s="26"/>
      <c r="H186" s="27"/>
    </row>
    <row r="187">
      <c r="B187" s="21">
        <v>182.0</v>
      </c>
      <c r="C187" s="35" t="s">
        <v>422</v>
      </c>
      <c r="D187" s="26" t="s">
        <v>267</v>
      </c>
      <c r="E187" s="34" t="s">
        <v>268</v>
      </c>
      <c r="F187" s="26" t="s">
        <v>206</v>
      </c>
      <c r="G187" s="26"/>
      <c r="H187" s="27"/>
    </row>
    <row r="188">
      <c r="B188" s="21">
        <v>183.0</v>
      </c>
      <c r="C188" s="35" t="s">
        <v>423</v>
      </c>
      <c r="D188" s="26" t="s">
        <v>267</v>
      </c>
      <c r="E188" s="34" t="s">
        <v>268</v>
      </c>
      <c r="F188" s="26" t="s">
        <v>215</v>
      </c>
      <c r="G188" s="26"/>
      <c r="H188" s="27"/>
    </row>
    <row r="189">
      <c r="B189" s="21">
        <v>184.0</v>
      </c>
      <c r="C189" s="35" t="s">
        <v>424</v>
      </c>
      <c r="D189" s="26" t="s">
        <v>267</v>
      </c>
      <c r="E189" s="34" t="s">
        <v>268</v>
      </c>
      <c r="F189" s="26" t="s">
        <v>215</v>
      </c>
      <c r="G189" s="26"/>
      <c r="H189" s="27"/>
    </row>
    <row r="190">
      <c r="B190" s="21">
        <v>185.0</v>
      </c>
      <c r="C190" s="35" t="s">
        <v>425</v>
      </c>
      <c r="D190" s="26" t="s">
        <v>267</v>
      </c>
      <c r="E190" s="34" t="s">
        <v>268</v>
      </c>
      <c r="F190" s="26" t="s">
        <v>206</v>
      </c>
      <c r="G190" s="26"/>
      <c r="H190" s="27"/>
    </row>
    <row r="191">
      <c r="B191" s="21">
        <v>186.0</v>
      </c>
      <c r="C191" s="35" t="s">
        <v>426</v>
      </c>
      <c r="D191" s="26" t="s">
        <v>267</v>
      </c>
      <c r="E191" s="34" t="s">
        <v>268</v>
      </c>
      <c r="F191" s="26" t="s">
        <v>206</v>
      </c>
      <c r="G191" s="26"/>
      <c r="H191" s="27"/>
    </row>
    <row r="192">
      <c r="B192" s="21">
        <v>187.0</v>
      </c>
      <c r="C192" s="35" t="s">
        <v>427</v>
      </c>
      <c r="D192" s="26" t="s">
        <v>267</v>
      </c>
      <c r="E192" s="34" t="s">
        <v>268</v>
      </c>
      <c r="F192" s="26" t="s">
        <v>215</v>
      </c>
      <c r="G192" s="26"/>
      <c r="H192" s="27" t="s">
        <v>273</v>
      </c>
    </row>
    <row r="193">
      <c r="B193" s="21">
        <v>188.0</v>
      </c>
      <c r="C193" s="35" t="s">
        <v>428</v>
      </c>
      <c r="D193" s="26" t="s">
        <v>267</v>
      </c>
      <c r="E193" s="34" t="s">
        <v>268</v>
      </c>
      <c r="F193" s="26" t="s">
        <v>215</v>
      </c>
      <c r="G193" s="26"/>
      <c r="H193" s="27" t="s">
        <v>273</v>
      </c>
    </row>
    <row r="194">
      <c r="B194" s="21">
        <v>189.0</v>
      </c>
      <c r="C194" s="35" t="s">
        <v>429</v>
      </c>
      <c r="D194" s="26" t="s">
        <v>267</v>
      </c>
      <c r="E194" s="34" t="s">
        <v>268</v>
      </c>
      <c r="F194" s="26" t="s">
        <v>215</v>
      </c>
      <c r="G194" s="26"/>
      <c r="H194" s="27" t="s">
        <v>273</v>
      </c>
    </row>
    <row r="195">
      <c r="B195" s="21">
        <v>190.0</v>
      </c>
      <c r="C195" s="35" t="s">
        <v>430</v>
      </c>
      <c r="D195" s="26" t="s">
        <v>267</v>
      </c>
      <c r="E195" s="34" t="s">
        <v>268</v>
      </c>
      <c r="F195" s="26" t="s">
        <v>206</v>
      </c>
      <c r="G195" s="26"/>
      <c r="H195" s="27"/>
    </row>
    <row r="196">
      <c r="B196" s="21">
        <v>191.0</v>
      </c>
      <c r="C196" s="35" t="s">
        <v>431</v>
      </c>
      <c r="D196" s="26" t="s">
        <v>267</v>
      </c>
      <c r="E196" s="34" t="s">
        <v>268</v>
      </c>
      <c r="F196" s="26" t="s">
        <v>215</v>
      </c>
      <c r="G196" s="26"/>
      <c r="H196" s="27"/>
    </row>
    <row r="197">
      <c r="B197" s="21">
        <v>192.0</v>
      </c>
      <c r="C197" s="35" t="s">
        <v>432</v>
      </c>
      <c r="D197" s="26" t="s">
        <v>267</v>
      </c>
      <c r="E197" s="34" t="s">
        <v>268</v>
      </c>
      <c r="F197" s="26" t="s">
        <v>215</v>
      </c>
      <c r="G197" s="26"/>
      <c r="H197" s="27"/>
    </row>
    <row r="198">
      <c r="B198" s="21">
        <v>193.0</v>
      </c>
      <c r="C198" s="35" t="s">
        <v>433</v>
      </c>
      <c r="D198" s="26" t="s">
        <v>267</v>
      </c>
      <c r="E198" s="22" t="s">
        <v>268</v>
      </c>
      <c r="F198" s="35" t="s">
        <v>215</v>
      </c>
      <c r="G198" s="35"/>
      <c r="H198" s="27" t="s">
        <v>273</v>
      </c>
    </row>
    <row r="199">
      <c r="B199" s="21">
        <v>194.0</v>
      </c>
      <c r="C199" s="26" t="s">
        <v>434</v>
      </c>
      <c r="D199" s="26" t="s">
        <v>230</v>
      </c>
      <c r="E199" s="22" t="s">
        <v>205</v>
      </c>
      <c r="F199" s="26" t="s">
        <v>215</v>
      </c>
      <c r="G199" s="26"/>
      <c r="H199" s="27" t="s">
        <v>273</v>
      </c>
    </row>
    <row r="200">
      <c r="B200" s="21">
        <v>195.0</v>
      </c>
      <c r="C200" s="26" t="s">
        <v>435</v>
      </c>
      <c r="D200" s="26" t="s">
        <v>267</v>
      </c>
      <c r="E200" s="22" t="s">
        <v>268</v>
      </c>
      <c r="F200" s="26" t="s">
        <v>215</v>
      </c>
      <c r="G200" s="26"/>
      <c r="H200" s="27" t="s">
        <v>273</v>
      </c>
    </row>
    <row r="201">
      <c r="B201" s="21">
        <v>196.0</v>
      </c>
      <c r="C201" s="26" t="s">
        <v>436</v>
      </c>
      <c r="D201" s="26" t="s">
        <v>230</v>
      </c>
      <c r="E201" s="22" t="s">
        <v>205</v>
      </c>
      <c r="F201" s="26" t="s">
        <v>215</v>
      </c>
      <c r="G201" s="26"/>
      <c r="H201" s="27"/>
    </row>
    <row r="202">
      <c r="B202" s="21">
        <v>197.0</v>
      </c>
      <c r="C202" s="26" t="s">
        <v>437</v>
      </c>
      <c r="D202" s="26" t="s">
        <v>230</v>
      </c>
      <c r="E202" s="22" t="s">
        <v>205</v>
      </c>
      <c r="F202" s="35" t="s">
        <v>206</v>
      </c>
      <c r="G202" s="35"/>
      <c r="H202" s="27" t="s">
        <v>273</v>
      </c>
    </row>
    <row r="203">
      <c r="B203" s="21">
        <v>198.0</v>
      </c>
      <c r="C203" s="26" t="s">
        <v>438</v>
      </c>
      <c r="D203" s="26" t="s">
        <v>230</v>
      </c>
      <c r="E203" s="22" t="s">
        <v>205</v>
      </c>
      <c r="F203" s="35" t="s">
        <v>206</v>
      </c>
      <c r="G203" s="35"/>
      <c r="H203" s="27"/>
    </row>
    <row r="204">
      <c r="B204" s="21">
        <v>199.0</v>
      </c>
      <c r="C204" s="26" t="s">
        <v>439</v>
      </c>
      <c r="D204" s="26" t="s">
        <v>230</v>
      </c>
      <c r="E204" s="22" t="s">
        <v>205</v>
      </c>
      <c r="F204" s="35" t="s">
        <v>206</v>
      </c>
      <c r="G204" s="35"/>
      <c r="H204" s="27"/>
    </row>
    <row r="205">
      <c r="B205" s="21">
        <v>200.0</v>
      </c>
      <c r="C205" s="35" t="s">
        <v>440</v>
      </c>
      <c r="D205" s="26" t="s">
        <v>267</v>
      </c>
      <c r="E205" s="34" t="s">
        <v>268</v>
      </c>
      <c r="F205" s="35" t="s">
        <v>215</v>
      </c>
      <c r="G205" s="35"/>
      <c r="H205" s="27" t="s">
        <v>441</v>
      </c>
    </row>
    <row r="206">
      <c r="B206" s="21">
        <v>201.0</v>
      </c>
      <c r="C206" s="35" t="s">
        <v>442</v>
      </c>
      <c r="D206" s="26" t="s">
        <v>267</v>
      </c>
      <c r="E206" s="34" t="s">
        <v>268</v>
      </c>
      <c r="F206" s="35" t="s">
        <v>215</v>
      </c>
      <c r="G206" s="35"/>
      <c r="H206" s="27" t="s">
        <v>441</v>
      </c>
    </row>
    <row r="207">
      <c r="B207" s="21">
        <v>202.0</v>
      </c>
      <c r="C207" s="26" t="s">
        <v>443</v>
      </c>
      <c r="D207" s="26" t="s">
        <v>267</v>
      </c>
      <c r="E207" s="34" t="s">
        <v>268</v>
      </c>
      <c r="F207" s="35" t="s">
        <v>215</v>
      </c>
      <c r="G207" s="35"/>
      <c r="H207" s="27" t="s">
        <v>441</v>
      </c>
    </row>
    <row r="208">
      <c r="B208" s="21">
        <v>203.0</v>
      </c>
      <c r="C208" s="35" t="s">
        <v>444</v>
      </c>
      <c r="D208" s="26" t="s">
        <v>267</v>
      </c>
      <c r="E208" s="34" t="s">
        <v>268</v>
      </c>
      <c r="F208" s="35" t="s">
        <v>215</v>
      </c>
      <c r="G208" s="35"/>
      <c r="H208" s="27" t="s">
        <v>441</v>
      </c>
    </row>
    <row r="209">
      <c r="B209" s="21">
        <v>204.0</v>
      </c>
      <c r="C209" s="35" t="s">
        <v>445</v>
      </c>
      <c r="D209" s="26" t="s">
        <v>267</v>
      </c>
      <c r="E209" s="34" t="s">
        <v>268</v>
      </c>
      <c r="F209" s="35" t="s">
        <v>215</v>
      </c>
      <c r="G209" s="35"/>
      <c r="H209" s="27" t="s">
        <v>441</v>
      </c>
    </row>
    <row r="210">
      <c r="B210" s="21">
        <v>205.0</v>
      </c>
      <c r="C210" s="35" t="s">
        <v>446</v>
      </c>
      <c r="D210" s="26" t="s">
        <v>267</v>
      </c>
      <c r="E210" s="34" t="s">
        <v>268</v>
      </c>
      <c r="F210" s="35" t="s">
        <v>215</v>
      </c>
      <c r="G210" s="35"/>
      <c r="H210" s="27" t="s">
        <v>441</v>
      </c>
    </row>
    <row r="211">
      <c r="B211" s="36"/>
      <c r="C211" s="32"/>
      <c r="D211" s="32"/>
      <c r="E211" s="32"/>
      <c r="F211" s="32"/>
      <c r="G211" s="32"/>
      <c r="H211" s="33"/>
    </row>
  </sheetData>
  <mergeCells count="2">
    <mergeCell ref="B2:H3"/>
    <mergeCell ref="J2:N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27.75"/>
    <col customWidth="1" min="4" max="47" width="7.63"/>
  </cols>
  <sheetData>
    <row r="4">
      <c r="B4" s="37" t="s">
        <v>447</v>
      </c>
      <c r="C4" s="38" t="str">
        <f>IFERROR(__xludf.DUMMYFUNCTION("JOIN("""", TOROW(MAP({D40:AU60}, LAMBDA(cell, IF(ISBLANK(cell), DEC2HEX(255, 2), DEC2HEX(cell, 2)) ))))"),"01000000000000000000000000000800000B11002A2605000101181708000A0C040C0A0D030E14191E1D303001010101010101010101010101010801010B11012A2606010101181608010A0C040C0A0D030E14191E1D303001000202020202020202020202020802020B11022B2705000101181708000A0C040C0A0D030E141"&amp;"91F1D303001010303030303030303030303030803030B11032B2706010101181608010A0C040C0A0D030E14191F1D3030000004040404040404FF040404040804040B11042B2705000101041709000B0C040C0A0D030E14191F1D3030000005050505050505FF050505050805050B11052C2805000101041709040B0C040C0A"&amp;"0D030E1419201D303001010606060606060606060606060806060B11062C2805000101051709000A0C040C0A0D030E1419201D303001010707070707070707070707070707070B11072C2805070101071708010A0C000C0A0D030E1419201D3030010108080808080808FF080808080808080B11082C2805000101081708000"&amp;"A0C040C0A0D030E1419201D3030000009090909090909FF090909090909090B11092D2905030101031709000B0C040C0B0D030E1419211D303001000A0A0A0A0A0A0A0A0A0A0A0A0A0A0A0B110A2D2905180101001708000A0C040C0A0D030E1419211D303000000C0C0C0C0C0C0C0C0C0C0C0C0C0C0C0C0C0C2D290F0F0F0F"&amp;"0F0F0F0F0F0F0F0F0F0F0F0F0F0F211D303000000D0D0D0D0D0D0D0D0D0D0D0D0D0D0D0D0D0D2D29101010101010101010101010101010101010211D303000000E0E0E0E0E0E0E0E0E0E0E0E0E0E0E0E0E0E2D29111111111111111111111111111111111111211D303000000F0F0F0F0F0F0F0F0F0F0F0F0F0F0F0F0F0F2D2"&amp;"9121212121212121212121212121212121212211D303000001010101010101010101010101010101010102D29131313131313131313131313131313131313211D303000001212121212121212121212121212121212122D29151515151515151515151515151515151515211D30300000101010101010101010101010101010"&amp;"1010102D29151515151515151515151515151515151515211D303000001313131313131313131313131313131313132D29030303030303030303030303030303030303211D303000002E2E2E2E2E2E2E2E2E2E2E2E2E2E2E2E2E2E2D29222222222222222222222222222222222222211D30300000252525252525252525242"&amp;"5242524252425242D291C1C1C1C1C1C1C1C1C1C1C1C1C1C1C1C1C1C211D3030")</f>
        <v>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v>
      </c>
      <c r="D4" s="39"/>
      <c r="E4" s="39"/>
      <c r="F4" s="39"/>
      <c r="G4" s="39"/>
      <c r="H4" s="39"/>
      <c r="I4" s="39"/>
      <c r="J4" s="39"/>
      <c r="K4" s="39"/>
      <c r="L4" s="39"/>
      <c r="M4" s="40"/>
      <c r="P4" s="41" t="s">
        <v>448</v>
      </c>
      <c r="Q4" s="40"/>
      <c r="R4" s="38" t="str">
        <f>IFERROR(__xludf.DUMMYFUNCTION("JOIN("""", TOROW(MAP({D40:AU122}, LAMBDA(cell, IF(ISBLANK(cell), DEC2HEX(255, 2), DEC2HEX(cell, 2)) ))))"),"01000000000000000000000000000800000B11002A2605000101181708000A0C040C0A0D030E14191E1D303001010101010101010101010101010801010B11012A2606010101181608010A0C040C0A0D030E14191E1D303001000202020202020202020202020802020B11022B2705000101181708000A0C040C0A0D030E141"&amp;"91F1D303001010303030303030303030303030803030B11032B2706010101181608010A0C040C0A0D030E14191F1D3030000004040404040404FF040404040804040B11042B2705000101041709000B0C040C0A0D030E14191F1D3030000005050505050505FF050505050805050B11052C2805000101041709040B0C040C0A"&amp;"0D030E1419201D303001010606060606060606060606060806060B11062C2805000101051709000A0C040C0A0D030E1419201D303001010707070707070707070707070707070B11072C2805070101071708010A0C000C0A0D030E1419201D3030010108080808080808FF080808080808080B11082C2805000101081708000"&amp;"A0C040C0A0D030E1419201D3030000009090909090909FF090909090909090B11092D2905030101031709000B0C040C0B0D030E1419211D303001000A0A0A0A0A0A0A0A0A0A0A0A0A0A0A0B110A2D2905180101001708000A0C040C0A0D030E1419211D303000000C0C0C0C0C0C0C0C0C0C0C0C0C0C0C0C0C0C2D290F0F0F0F"&amp;"0F0F0F0F0F0F0F0F0F0F0F0F0F0F211D303000000D0D0D0D0D0D0D0D0D0D0D0D0D0D0D0D0D0D2D29101010101010101010101010101010101010211D303000000E0E0E0E0E0E0E0E0E0E0E0E0E0E0E0E0E0E2D29111111111111111111111111111111111111211D303000000F0F0F0F0F0F0F0F0F0F0F0F0F0F0F0F0F0F2D2"&amp;"9121212121212121212121212121212121212211D303000001010101010101010101010101010101010102D29131313131313131313131313131313131313211D303000001212121212121212121212121212121212122D29151515151515151515151515151515151515211D30300000101010101010101010101010101010"&amp;"1010102D29151515151515151515151515151515151515211D303000001313131313131313131313131313131313132D29030303030303030303030303030303030303211D303000002E2E2E2E2E2E2E2E2E2E2E2E2E2E2E2E2E2E2D29222222222222222222222222222222222222211D30300000252525252525252525242"&amp;"5242524252425242D291C1C1C1C1C1C1C1C1C1C1C1C1C1C1C1C1C1C211D3030FFFFFFFFFFFFFFFFFFFFFFFFFFFFFFFFFFFFFFFFFFFFFFFFFFFFFFFFFFFFFFFFFFFFFFFFFFFFFFFFFFFF3030FFFFFFFFFFFFFFFFFFFFFFFFFFFFFFFFFFFFFFFFFFFFFFFFFFFFFFFFFFFFFFFFFFFFFFFFFFFFFFFFFFFF3030FFFFFFFFFFFFFFFF"&amp;"FFFFFFFFFFFFFFFFFFFFFFFFFFFFFFFFFFFFFFFFFFFFFFFFFFFFFFFFFFFFFFFFFFFF3030FFFFFFFFFFFFFFFFFFFFFFFFFFFFFFFFFFFFFFFFFFFFFFFFFFFFFFFFFFFFFFFFFFFFFFFFFFFFFFFFFFFF3030FFFFFFFFFFFFFFFFFFFFFFFFFFFFFFFFFFFFFFFFFFFFFFFFFFFFFFFFFFFFFFFFFFFFFFFFFFFFFFFFFFFF3030FFFFFFF"&amp;"FFFFFFFFFFFFFFFFFFFFFFFFFFFFFFFFFFFFFFFFFFFFFFFFFFFFFFFFFFFFFFFFFFFFFFFFFFFFF3030FFFFFFFFFFFFFFFFFFFFFFFFFFFFFFFFFFFFFFFFFFFFFFFFFFFFFFFFFFFFFFFFFFFFFFFFFFFFFFFFFFFF3030FFFFFFFFFFFFFFFFFFFFFFFFFFFFFFFFFFFFFFFFFFFFFFFFFFFFFFFFFFFFFFFFFFFFFFFFFFFFFFFFFFFF30"&amp;"30FFFFFFFFFFFFFFFFFFFFFFFFFFFFFFFFFFFFFFFFFFFFFFFFFFFFFFFFFFFFFFFFFFFFFFFFFFFFFFFFFFFF3030FFFFFFFFFFFFFFFFFFFFFFFFFFFFFFFFFFFFFFFFFFFFFFFFFFFFFFFFFFFFFFFFFFFFFFFFFFFFFFFFFFFF3030FFFFFFFFFFFFFFFFFFFFFFFFFFFFFFFFFFFFFFFFFFFFFFFFFFFFFFFFFFFFFFFFFFFFFFFFFFFFF"&amp;"FFFFFFF3030FFFFFFFFFFFFFFFFFFFFFFFFFFFFFFFFFFFFFFFFFFFFFFFFFFFFFFFFFFFFFFFFFFFFFFFFFFFFFFFFFFFF3030FFFFFFFFFFFFFFFFFFFFFFFFFFFFFFFFFFFFFFFFFFFFFFFFFFFFFFFFFFFFFFFFFFFFFFFFFFFFFFFFFFFF3030FFFFFFFFFFFFFFFFFFFFFFFFFFFFFFFFFFFFFFFFFFFFFFFFFFFFFFFFFFFFFFFFFFFF"&amp;"FFFFFFFFFFFFFFFF3030FFFFFFFFFFFFFFFFFFFFFFFFFFFFFFFFFFFFFFFFFFFFFFFFFFFFFFFFFFFFFFFFFFFFFFFFFFFFFFFFFFFF3030FFFFFFFFFFFFFFFFFFFFFFFFFFFFFFFFFFFFFFFFFFFFFFFFFFFFFFFFFFFFFFFFFFFFFFFFFFFFFFFFFFFF3030FFFFFFFFFFFFFFFFFFFFFFFFFFFFFFFFFFFFFFFFFFFFFFFFFFFFFFFFFFF"&amp;"FFFFFFFFFFFFFFFFFFFFFFFFF3030FFFFFFFFFFFFFFFFFFFFFFFFFFFFFFFFFFFFFFFFFFFFFFFFFFFFFFFFFFFFFFFFFFFFFFFFFFFFFFFFFFFF3030FFFFFFFFFFFFFFFFFFFFFFFFFFFFFFFFFFFFFFFFFFFFFFFFFFFFFFFFFFFFFFFFFFFFFFFFFFFFFFFFFFFF3030FFFFFFFFFFFFFFFFFFFFFFFFFFFFFFFFFFFFFFFFFFFFFFFFFF"&amp;"FFFFFFFFFFFFFFFFFFFFFFFFFFFFFFFFFF3030FFFFFFFFFFFFFFFFFFFFFFFFFFFFFFFFFFFFFFFFFFFFFFFFFFFFFFFFFFFFFFFFFFFFFFFFFFFFFFFFFFFF3030FFFFFFFFFFFFFFFFFFFFFFFFFFFFFFFFFFFFFFFFFFFFFFFFFFFFFFFFFFFFFFFFFFFFFFFFFFFFFFFFFFFF3030FFFFFFFFFFFFFFFFFFFFFFFFFFFFFFFFFFFFFFFFF"&amp;"FFFFFFFFFFFFFFFFFFFFFFFFFFFFFFFFFFFFFFFFFFF3030FFFFFFFFFFFFFFFFFFFFFFFFFFFFFFFFFFFFFFFFFFFFFFFFFFFFFFFFFFFFFFFFFFFFFFFFFFFFFFFFFFFF3030FFFFFFFFFFFFFFFFFFFFFFFFFFFFFFFFFFFFFFFFFFFFFFFFFFFFFFFFFFFFFFFFFFFFFFFFFFFFFFFFFFFF3030FFFFFFFFFFFFFFFFFFFFFFFFFFFFFFFF"&amp;"FFFFFFFFFFFFFFFFFFFFFFFFFFFFFFFFFFFFFFFFFFFFFFFFFFFF3030FFFFFFFFFFFFFFFFFFFFFFFFFFFFFFFFFFFFFFFFFFFFFFFFFFFFFFFFFFFFFFFFFFFFFFFFFFFFFFFFFFFF3030FFFFFFFFFFFFFFFFFFFFFFFFFFFFFFFFFFFFFFFFFFFFFFFFFFFFFFFFFFFFFFFFFFFFFFFFFFFFFFFFFFFF3030FFFFFFFFFFFFFFFFFFFFFFF"&amp;"FFFFFFFFFFFFFFFFFFFFFFFFFFFFFFFFFFFFFFFFFFFFFFFFFFFFFFFFFFFFF3030FFFFFFFFFFFFFFFFFFFFFFFFFFFFFFFFFFFFFFFFFFFFFFFFFFFFFFFFFFFFFFFFFFFFFFFFFFFFFFFFFFFF3030FFFFFFFFFFFFFFFFFFFFFFFFFFFFFFFFFFFFFFFFFFFFFFFFFFFFFFFFFFFFFFFFFFFFFFFFFFFFFFFFFFFF3030FFFFFFFFFFFFFF"&amp;"FFFFFFFFFFFFFFFFFFFFFFFFFFFFFFFFFFFFFFFFFFFFFFFFFFFFFFFFFFFFFFFFFFFFFF3030FFFFFFFFFFFFFFFFFFFFFFFFFFFFFFFFFFFFFFFFFFFFFFFFFFFFFFFFFFFFFFFFFFFFFFFFFFFFFFFFFFFF3030FFFFFFFFFFFFFFFFFFFFFFFFFFFFFFFFFFFFFFFFFFFFFFFFFFFFFFFFFFFFFFFFFFFFFFFFFFFFFFFFFFFF3030FFFFF"&amp;"FFFFFFFFFFFFFFFFFFFFFFFFFFFFFFFFFFFFFFFFFFFFFFFFFFFFFFFFFFFFFFFFFFFFFFFFFFFFFFF3030FFFFFFFFFFFFFFFFFFFFFFFFFFFFFFFFFFFFFFFFFFFFFFFFFFFFFFFFFFFFFFFFFFFFFFFFFFFFFFFFFFFF3030FFFFFFFFFFFFFFFFFFFFFFFFFFFFFFFFFFFFFFFFFFFFFFFFFFFFFFFFFFFFFFFFFFFFFFFFFFFFFFFFFFFF"&amp;"3030FFFFFFFFFFFFFFFFFFFFFFFFFFFFFFFFFFFFFFFFFFFFFFFFFFFFFFFFFFFFFFFFFFFFFFFFFFFFFFFFFFFF3030FFFFFFFFFFFFFFFFFFFFFFFFFFFFFFFFFFFFFFFFFFFFFFFFFFFFFFFFFFFFFFFFFFFFFFFFFFFFFFFFFFFF3030FFFFFFFFFFFFFFFFFFFFFFFFFFFFFFFFFFFFFFFFFFFFFFFFFFFFFFFFFFFFFFFFFFFFFFFFFFF"&amp;"FFFFFFFFF3030FFFFFFFFFFFFFFFFFFFFFFFFFFFFFFFFFFFFFFFFFFFFFFFFFFFFFFFFFFFFFFFFFFFFFFFFFFFFFFFFFFFF3030FFFFFFFFFFFFFFFFFFFFFFFFFFFFFFFFFFFFFFFFFFFFFFFFFFFFFFFFFFFFFFFFFFFFFFFFFFFFFFFFFFFF3030FFFFFFFFFFFFFFFFFFFFFFFFFFFFFFFFFFFFFFFFFFFFFFFFFFFFFFFFFFFFFFFFFF"&amp;"FFFFFFFFFFFFFFFFFF3030FFFFFFFFFFFFFFFFFFFFFFFFFFFFFFFFFFFFFFFFFFFFFFFFFFFFFFFFFFFFFFFFFFFFFFFFFFFFFFFFFFFF3030FFFFFFFFFFFFFFFFFFFFFFFFFFFFFFFFFFFFFFFFFFFFFFFFFFFFFFFFFFFFFFFFFFFFFFFFFFFFFFFFFFFF3030FFFFFFFFFFFFFFFFFFFFFFFFFFFFFFFFFFFFFFFFFFFFFFFFFFFFFFFFF"&amp;"FFFFFFFFFFFFFFFFFFFFFFFFFFF3030FFFFFFFFFFFFFFFFFFFFFFFFFFFFFFFFFFFFFFFFFFFFFFFFFFFFFFFFFFFFFFFFFFFFFFFFFFFFFFFFFFFF3030FFFFFFFFFFFFFFFFFFFFFFFFFFFFFFFFFFFFFFFFFFFFFFFFFFFFFFFFFFFFFFFFFFFFFFFFFFFFFFFFFFFF3030FFFFFFFFFFFFFFFFFFFFFFFFFFFFFFFFFFFFFFFFFFFFFFFF"&amp;"FFFFFFFFFFFFFFFFFFFFFFFFFFFFFFFFFFFF3030FFFFFFFFFFFFFFFFFFFFFFFFFFFFFFFFFFFFFFFFFFFFFFFFFFFFFFFFFFFFFFFFFFFFFFFFFFFFFFFFFFFF3030FFFFFFFFFFFFFFFFFFFFFFFFFFFFFFFFFFFFFFFFFFFFFFFFFFFFFFFFFFFFFFFFFFFFFFFFFFFFFFFFFFFF3030FFFFFFFFFFFFFFFFFFFFFFFFFFFFFFFFFFFFFFF"&amp;"FFFFFFFFFFFFFFFFFFFFFFFFFFFFFFFFFFFFFFFFFFFFF3030FFFFFFFFFFFFFFFFFFFFFFFFFFFFFFFFFFFFFFFFFFFFFFFFFFFFFFFFFFFFFFFFFFFFFFFFFFFFFFFFFFFF3030FFFFFFFFFFFFFFFFFFFFFFFFFFFFFFFFFFFFFFFFFFFFFFFFFFFFFFFFFFFFFFFFFFFFFFFFFFFFFFFFFFFF3030FFFFFFFFFFFFFFFFFFFFFFFFFFFFFF"&amp;"FFFFFFFFFFFFFFFFFFFFFFFFFFFFFFFFFFFFFFFFFFFFFFFFFFFFFF3030FFFFFFFFFFFFFFFFFFFFFFFFFFFFFFFFFFFFFFFFFFFFFFFFFFFFFFFFFFFFFFFFFFFFFFFFFFFFFFFFFFFF3030FFFFFFFFFFFFFFFFFFFFFFFFFFFFFFFFFFFFFFFFFFFFFFFFFFFFFFFFFFFFFFFFFFFFFFFFFFFFFFFFFFFF3030FFFFFFFFFFFFFFFFFFFFF"&amp;"FFFFFFFFFFFFFFFFFFFFFFFFFFFFFFFFFFFFFFFFFFFFFFFFFFFFFFFFFFFFFFF3030FFFFFFFFFFFFFFFFFFFFFFFFFFFFFFFFFFFFFFFFFFFFFFFFFFFFFFFFFFFFFFFFFFFFFFFFFFFFFFFFFFFF3030FFFFFFFFFFFFFFFFFFFFFFFFFFFFFFFFFFFFFFFFFFFFFFFFFFFFFFFFFFFFFFFFFFFFFFFFFFFFFFFFFFFF3030FFFFFFFFFFFF"&amp;"FFFFFFFFFFFFFFFFFFFFFFFFFFFFFFFFFFFFFFFFFFFFFFFFFFFFFFFFFFFFFFFFFFFFFFFF3030FFFFFFFFFFFFFFFFFFFFFFFFFFFFFFFFFFFFFFFFFFFFFFFFFFFFFFFFFFFFFFFFFFFFFFFFFFFFFFFFFFFF3030")</f>
        <v>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v>
      </c>
      <c r="S4" s="39"/>
      <c r="T4" s="39"/>
      <c r="U4" s="39"/>
      <c r="V4" s="39"/>
      <c r="W4" s="39"/>
      <c r="X4" s="39"/>
      <c r="Y4" s="39"/>
      <c r="Z4" s="39"/>
      <c r="AA4" s="39"/>
      <c r="AB4" s="40"/>
      <c r="AE4" s="41" t="s">
        <v>449</v>
      </c>
      <c r="AF4" s="40"/>
      <c r="AG4" s="38" t="str">
        <f>IFERROR(__xludf.DUMMYFUNCTION("JOIN("""", TOROW(MAP({D40:AU129}, LAMBDA(cell, IF(ISBLANK(cell), DEC2HEX(255, 2), DEC2HEX(cell, 2)) ))))"),"01000000000000000000000000000800000B11002A2605000101181708000A0C040C0A0D030E14191E1D303001010101010101010101010101010801010B11012A2606010101181608010A0C040C0A0D030E14191E1D303001000202020202020202020202020802020B11022B2705000101181708000A0C040C0A0D030E141"&amp;"91F1D303001010303030303030303030303030803030B11032B2706010101181608010A0C040C0A0D030E14191F1D3030000004040404040404FF040404040804040B11042B2705000101041709000B0C040C0A0D030E14191F1D3030000005050505050505FF050505050805050B11052C2805000101041709040B0C040C0A"&amp;"0D030E1419201D303001010606060606060606060606060806060B11062C2805000101051709000A0C040C0A0D030E1419201D303001010707070707070707070707070707070B11072C2805070101071708010A0C000C0A0D030E1419201D3030010108080808080808FF080808080808080B11082C2805000101081708000"&amp;"A0C040C0A0D030E1419201D3030000009090909090909FF090909090909090B11092D2905030101031709000B0C040C0B0D030E1419211D303001000A0A0A0A0A0A0A0A0A0A0A0A0A0A0A0B110A2D2905180101001708000A0C040C0A0D030E1419211D303000000C0C0C0C0C0C0C0C0C0C0C0C0C0C0C0C0C0C2D290F0F0F0F"&amp;"0F0F0F0F0F0F0F0F0F0F0F0F0F0F211D303000000D0D0D0D0D0D0D0D0D0D0D0D0D0D0D0D0D0D2D29101010101010101010101010101010101010211D303000000E0E0E0E0E0E0E0E0E0E0E0E0E0E0E0E0E0E2D29111111111111111111111111111111111111211D303000000F0F0F0F0F0F0F0F0F0F0F0F0F0F0F0F0F0F2D2"&amp;"9121212121212121212121212121212121212211D303000001010101010101010101010101010101010102D29131313131313131313131313131313131313211D303000001212121212121212121212121212121212122D29151515151515151515151515151515151515211D30300000101010101010101010101010101010"&amp;"1010102D29151515151515151515151515151515151515211D303000001313131313131313131313131313131313132D29030303030303030303030303030303030303211D303000002E2E2E2E2E2E2E2E2E2E2E2E2E2E2E2E2E2E2D29222222222222222222222222222222222222211D30300000252525252525252525242"&amp;"5242524252425242D291C1C1C1C1C1C1C1C1C1C1C1C1C1C1C1C1C1C211D3030FFFFFFFFFFFFFFFFFFFFFFFFFFFFFFFFFFFFFFFFFFFFFFFFFFFFFFFFFFFFFFFFFFFFFFFFFFFFFFFFFFFF3030FFFFFFFFFFFFFFFFFFFFFFFFFFFFFFFFFFFFFFFFFFFFFFFFFFFFFFFFFFFFFFFFFFFFFFFFFFFFFFFFFFFF3030FFFFFFFFFFFFFFFF"&amp;"FFFFFFFFFFFFFFFFFFFFFFFFFFFFFFFFFFFFFFFFFFFFFFFFFFFFFFFFFFFFFFFFFFFF3030FFFFFFFFFFFFFFFFFFFFFFFFFFFFFFFFFFFFFFFFFFFFFFFFFFFFFFFFFFFFFFFFFFFFFFFFFFFFFFFFFFFF3030FFFFFFFFFFFFFFFFFFFFFFFFFFFFFFFFFFFFFFFFFFFFFFFFFFFFFFFFFFFFFFFFFFFFFFFFFFFFFFFFFFFF3030FFFFFFF"&amp;"FFFFFFFFFFFFFFFFFFFFFFFFFFFFFFFFFFFFFFFFFFFFFFFFFFFFFFFFFFFFFFFFFFFFFFFFFFFFF3030FFFFFFFFFFFFFFFFFFFFFFFFFFFFFFFFFFFFFFFFFFFFFFFFFFFFFFFFFFFFFFFFFFFFFFFFFFFFFFFFFFFF3030FFFFFFFFFFFFFFFFFFFFFFFFFFFFFFFFFFFFFFFFFFFFFFFFFFFFFFFFFFFFFFFFFFFFFFFFFFFFFFFFFFFF30"&amp;"30FFFFFFFFFFFFFFFFFFFFFFFFFFFFFFFFFFFFFFFFFFFFFFFFFFFFFFFFFFFFFFFFFFFFFFFFFFFFFFFFFFFF3030FFFFFFFFFFFFFFFFFFFFFFFFFFFFFFFFFFFFFFFFFFFFFFFFFFFFFFFFFFFFFFFFFFFFFFFFFFFFFFFFFFFF3030FFFFFFFFFFFFFFFFFFFFFFFFFFFFFFFFFFFFFFFFFFFFFFFFFFFFFFFFFFFFFFFFFFFFFFFFFFFFF"&amp;"FFFFFFF3030FFFFFFFFFFFFFFFFFFFFFFFFFFFFFFFFFFFFFFFFFFFFFFFFFFFFFFFFFFFFFFFFFFFFFFFFFFFFFFFFFFFF3030FFFFFFFFFFFFFFFFFFFFFFFFFFFFFFFFFFFFFFFFFFFFFFFFFFFFFFFFFFFFFFFFFFFFFFFFFFFFFFFFFFFF3030FFFFFFFFFFFFFFFFFFFFFFFFFFFFFFFFFFFFFFFFFFFFFFFFFFFFFFFFFFFFFFFFFFFF"&amp;"FFFFFFFFFFFFFFFF3030FFFFFFFFFFFFFFFFFFFFFFFFFFFFFFFFFFFFFFFFFFFFFFFFFFFFFFFFFFFFFFFFFFFFFFFFFFFFFFFFFFFF3030FFFFFFFFFFFFFFFFFFFFFFFFFFFFFFFFFFFFFFFFFFFFFFFFFFFFFFFFFFFFFFFFFFFFFFFFFFFFFFFFFFFF3030FFFFFFFFFFFFFFFFFFFFFFFFFFFFFFFFFFFFFFFFFFFFFFFFFFFFFFFFFFF"&amp;"FFFFFFFFFFFFFFFFFFFFFFFFF3030FFFFFFFFFFFFFFFFFFFFFFFFFFFFFFFFFFFFFFFFFFFFFFFFFFFFFFFFFFFFFFFFFFFFFFFFFFFFFFFFFFFF3030FFFFFFFFFFFFFFFFFFFFFFFFFFFFFFFFFFFFFFFFFFFFFFFFFFFFFFFFFFFFFFFFFFFFFFFFFFFFFFFFFFFF3030FFFFFFFFFFFFFFFFFFFFFFFFFFFFFFFFFFFFFFFFFFFFFFFFFF"&amp;"FFFFFFFFFFFFFFFFFFFFFFFFFFFFFFFFFF3030FFFFFFFFFFFFFFFFFFFFFFFFFFFFFFFFFFFFFFFFFFFFFFFFFFFFFFFFFFFFFFFFFFFFFFFFFFFFFFFFFFFF3030FFFFFFFFFFFFFFFFFFFFFFFFFFFFFFFFFFFFFFFFFFFFFFFFFFFFFFFFFFFFFFFFFFFFFFFFFFFFFFFFFFFF3030FFFFFFFFFFFFFFFFFFFFFFFFFFFFFFFFFFFFFFFFF"&amp;"FFFFFFFFFFFFFFFFFFFFFFFFFFFFFFFFFFFFFFFFFFF3030FFFFFFFFFFFFFFFFFFFFFFFFFFFFFFFFFFFFFFFFFFFFFFFFFFFFFFFFFFFFFFFFFFFFFFFFFFFFFFFFFFFF3030FFFFFFFFFFFFFFFFFFFFFFFFFFFFFFFFFFFFFFFFFFFFFFFFFFFFFFFFFFFFFFFFFFFFFFFFFFFFFFFFFFFF3030FFFFFFFFFFFFFFFFFFFFFFFFFFFFFFFF"&amp;"FFFFFFFFFFFFFFFFFFFFFFFFFFFFFFFFFFFFFFFFFFFFFFFFFFFF3030FFFFFFFFFFFFFFFFFFFFFFFFFFFFFFFFFFFFFFFFFFFFFFFFFFFFFFFFFFFFFFFFFFFFFFFFFFFFFFFFFFFF3030FFFFFFFFFFFFFFFFFFFFFFFFFFFFFFFFFFFFFFFFFFFFFFFFFFFFFFFFFFFFFFFFFFFFFFFFFFFFFFFFFFFF3030FFFFFFFFFFFFFFFFFFFFFFF"&amp;"FFFFFFFFFFFFFFFFFFFFFFFFFFFFFFFFFFFFFFFFFFFFFFFFFFFFFFFFFFFFF3030FFFFFFFFFFFFFFFFFFFFFFFFFFFFFFFFFFFFFFFFFFFFFFFFFFFFFFFFFFFFFFFFFFFFFFFFFFFFFFFFFFFF3030FFFFFFFFFFFFFFFFFFFFFFFFFFFFFFFFFFFFFFFFFFFFFFFFFFFFFFFFFFFFFFFFFFFFFFFFFFFFFFFFFFFF3030FFFFFFFFFFFFFF"&amp;"FFFFFFFFFFFFFFFFFFFFFFFFFFFFFFFFFFFFFFFFFFFFFFFFFFFFFFFFFFFFFFFFFFFFFF3030FFFFFFFFFFFFFFFFFFFFFFFFFFFFFFFFFFFFFFFFFFFFFFFFFFFFFFFFFFFFFFFFFFFFFFFFFFFFFFFFFFFF3030FFFFFFFFFFFFFFFFFFFFFFFFFFFFFFFFFFFFFFFFFFFFFFFFFFFFFFFFFFFFFFFFFFFFFFFFFFFFFFFFFFFF3030FFFFF"&amp;"FFFFFFFFFFFFFFFFFFFFFFFFFFFFFFFFFFFFFFFFFFFFFFFFFFFFFFFFFFFFFFFFFFFFFFFFFFFFFFF3030FFFFFFFFFFFFFFFFFFFFFFFFFFFFFFFFFFFFFFFFFFFFFFFFFFFFFFFFFFFFFFFFFFFFFFFFFFFFFFFFFFFF3030FFFFFFFFFFFFFFFFFFFFFFFFFFFFFFFFFFFFFFFFFFFFFFFFFFFFFFFFFFFFFFFFFFFFFFFFFFFFFFFFFFFF"&amp;"3030FFFFFFFFFFFFFFFFFFFFFFFFFFFFFFFFFFFFFFFFFFFFFFFFFFFFFFFFFFFFFFFFFFFFFFFFFFFFFFFFFFFF3030FFFFFFFFFFFFFFFFFFFFFFFFFFFFFFFFFFFFFFFFFFFFFFFFFFFFFFFFFFFFFFFFFFFFFFFFFFFFFFFFFFFF3030FFFFFFFFFFFFFFFFFFFFFFFFFFFFFFFFFFFFFFFFFFFFFFFFFFFFFFFFFFFFFFFFFFFFFFFFFFF"&amp;"FFFFFFFFF3030FFFFFFFFFFFFFFFFFFFFFFFFFFFFFFFFFFFFFFFFFFFFFFFFFFFFFFFFFFFFFFFFFFFFFFFFFFFFFFFFFFFF3030FFFFFFFFFFFFFFFFFFFFFFFFFFFFFFFFFFFFFFFFFFFFFFFFFFFFFFFFFFFFFFFFFFFFFFFFFFFFFFFFFFFF3030FFFFFFFFFFFFFFFFFFFFFFFFFFFFFFFFFFFFFFFFFFFFFFFFFFFFFFFFFFFFFFFFFF"&amp;"FFFFFFFFFFFFFFFFFF3030FFFFFFFFFFFFFFFFFFFFFFFFFFFFFFFFFFFFFFFFFFFFFFFFFFFFFFFFFFFFFFFFFFFFFFFFFFFFFFFFFFFF3030FFFFFFFFFFFFFFFFFFFFFFFFFFFFFFFFFFFFFFFFFFFFFFFFFFFFFFFFFFFFFFFFFFFFFFFFFFFFFFFFFFFF3030FFFFFFFFFFFFFFFFFFFFFFFFFFFFFFFFFFFFFFFFFFFFFFFFFFFFFFFFF"&amp;"FFFFFFFFFFFFFFFFFFFFFFFFFFF3030FFFFFFFFFFFFFFFFFFFFFFFFFFFFFFFFFFFFFFFFFFFFFFFFFFFFFFFFFFFFFFFFFFFFFFFFFFFFFFFFFFFF3030FFFFFFFFFFFFFFFFFFFFFFFFFFFFFFFFFFFFFFFFFFFFFFFFFFFFFFFFFFFFFFFFFFFFFFFFFFFFFFFFFFFF3030FFFFFFFFFFFFFFFFFFFFFFFFFFFFFFFFFFFFFFFFFFFFFFFF"&amp;"FFFFFFFFFFFFFFFFFFFFFFFFFFFFFFFFFFFF3030FFFFFFFFFFFFFFFFFFFFFFFFFFFFFFFFFFFFFFFFFFFFFFFFFFFFFFFFFFFFFFFFFFFFFFFFFFFFFFFFFFFF3030FFFFFFFFFFFFFFFFFFFFFFFFFFFFFFFFFFFFFFFFFFFFFFFFFFFFFFFFFFFFFFFFFFFFFFFFFFFFFFFFFFFF3030FFFFFFFFFFFFFFFFFFFFFFFFFFFFFFFFFFFFFFF"&amp;"FFFFFFFFFFFFFFFFFFFFFFFFFFFFFFFFFFFFFFFFFFFFF3030FFFFFFFFFFFFFFFFFFFFFFFFFFFFFFFFFFFFFFFFFFFFFFFFFFFFFFFFFFFFFFFFFFFFFFFFFFFFFFFFFFFF3030FFFFFFFFFFFFFFFFFFFFFFFFFFFFFFFFFFFFFFFFFFFFFFFFFFFFFFFFFFFFFFFFFFFFFFFFFFFFFFFFFFFF3030FFFFFFFFFFFFFFFFFFFFFFFFFFFFFF"&amp;"FFFFFFFFFFFFFFFFFFFFFFFFFFFFFFFFFFFFFFFFFFFFFFFFFFFFFF3030FFFFFFFFFFFFFFFFFFFFFFFFFFFFFFFFFFFFFFFFFFFFFFFFFFFFFFFFFFFFFFFFFFFFFFFFFFFFFFFFFFFF3030FFFFFFFFFFFFFFFFFFFFFFFFFFFFFFFFFFFFFFFFFFFFFFFFFFFFFFFFFFFFFFFFFFFFFFFFFFFFFFFFFFFF3030FFFFFFFFFFFFFFFFFFFFF"&amp;"FFFFFFFFFFFFFFFFFFFFFFFFFFFFFFFFFFFFFFFFFFFFFFFFFFFFFFFFFFFFFFF3030FFFFFFFFFFFFFFFFFFFFFFFFFFFFFFFFFFFFFFFFFFFFFFFFFFFFFFFFFFFFFFFFFFFFFFFFFFFFFFFFFFFF3030FFFFFFFFFFFFFFFFFFFFFFFFFFFFFFFFFFFFFFFFFFFFFFFFFFFFFFFFFFFFFFFFFFFFFFFFFFFFFFFFFFFF3030FFFFFFFFFFFF"&amp;"FFFFFFFFFFFFFFFFFFFFFFFFFFFFFFFFFFFFFFFFFFFFFFFFFFFFFFFFFFFFFFFFFFFFFFFF3030FFFFFFFFFFFFFFFFFFFFFFFFFFFFFFFFFFFFFFFFFFFFFFFFFFFFFFFFFFFFFFFFFFFFFFFFFFFFFFFFFFFF3030FFFFFFFFFFFFFFFFFFFFFFFFFFFFFFFFFFFFFFFFFFFFFFFFFFFFFFFFFFFFFFFFFFFFFFFFFFFFFFFFFFFF3030FFF"&amp;"FFFFFFFFFFFFFFFFFFFFFFFFFFFFFFFFFFFFFFFFFFFFFFFFFFFFFFFFFFFFFFFFFFFFFFFFFFFFFFFFF3030FFFFFFFFFFFFFFFFFFFFFFFFFFFFFFFFFFFFFFFFFFFFFFFFFFFFFFFFFFFFFFFFFFFFFFFFFFFFFFFFFFFF3030FFFFFFFFFFFFFFFFFFFFFFFFFFFFFFFFFFFFFFFFFFFFFFFFFFFFFFFFFFFFFFFFFFFFFFFFFFFFFFFFFF"&amp;"FF3030FFFFFFFFFFFFFFFFFFFFFFFFFFFFFFFFFFFFFFFFFFFFFFFFFFFFFFFFFFFFFFFFFFFFFFFFFFFFFFFFFFFF3030FFFFFFFFFFFFFFFFFFFFFFFFFFFFFFFFFFFFFFFFFFFFFFFFFFFFFFFFFFFFFFFFFFFFFFFFFFFFFFFFFFFF3030FFFFFFFFFFFFFFFFFFFFFFFFFFFFFFFFFFFFFFFFFFFFFFFFFFFFFFFFFFFFFFFFFFFFFFFFF"&amp;"FFFFFFFFFFF3030")</f>
        <v>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FFFFFFFFFFFFFFFFFFFFFFFFFFFFFFFFFFFFFFFFFFFFFFFFFFFFFFFFFFFFFFFFFFFFFFFFFFFFFFFFFFFF3030</v>
      </c>
      <c r="AH4" s="39"/>
      <c r="AI4" s="39"/>
      <c r="AJ4" s="39"/>
      <c r="AK4" s="39"/>
      <c r="AL4" s="39"/>
      <c r="AM4" s="39"/>
      <c r="AN4" s="39"/>
      <c r="AO4" s="39"/>
      <c r="AP4" s="39"/>
      <c r="AQ4" s="40"/>
    </row>
    <row r="5">
      <c r="B5" s="42"/>
      <c r="C5" s="43"/>
      <c r="M5" s="44"/>
      <c r="P5" s="43"/>
      <c r="Q5" s="44"/>
      <c r="R5" s="43"/>
      <c r="AB5" s="44"/>
      <c r="AE5" s="43"/>
      <c r="AF5" s="44"/>
      <c r="AG5" s="43"/>
      <c r="AQ5" s="44"/>
    </row>
    <row r="6">
      <c r="B6" s="45"/>
      <c r="C6" s="43"/>
      <c r="M6" s="44"/>
      <c r="P6" s="46"/>
      <c r="Q6" s="47"/>
      <c r="R6" s="43"/>
      <c r="AB6" s="44"/>
      <c r="AE6" s="46"/>
      <c r="AF6" s="47"/>
      <c r="AG6" s="43"/>
      <c r="AQ6" s="44"/>
    </row>
    <row r="7">
      <c r="C7" s="43"/>
      <c r="M7" s="44"/>
      <c r="R7" s="43"/>
      <c r="AB7" s="44"/>
      <c r="AG7" s="43"/>
      <c r="AQ7" s="44"/>
    </row>
    <row r="8">
      <c r="C8" s="43"/>
      <c r="M8" s="44"/>
      <c r="R8" s="43"/>
      <c r="AB8" s="44"/>
      <c r="AG8" s="43"/>
      <c r="AQ8" s="44"/>
    </row>
    <row r="9">
      <c r="C9" s="43"/>
      <c r="M9" s="44"/>
      <c r="R9" s="43"/>
      <c r="AB9" s="44"/>
      <c r="AG9" s="43"/>
      <c r="AQ9" s="44"/>
    </row>
    <row r="10">
      <c r="C10" s="43"/>
      <c r="M10" s="44"/>
      <c r="R10" s="43"/>
      <c r="AB10" s="44"/>
      <c r="AG10" s="43"/>
      <c r="AQ10" s="44"/>
    </row>
    <row r="11">
      <c r="C11" s="43"/>
      <c r="M11" s="44"/>
      <c r="R11" s="43"/>
      <c r="AB11" s="44"/>
      <c r="AG11" s="43"/>
      <c r="AQ11" s="44"/>
    </row>
    <row r="12">
      <c r="C12" s="43"/>
      <c r="M12" s="44"/>
      <c r="R12" s="43"/>
      <c r="AB12" s="44"/>
      <c r="AG12" s="43"/>
      <c r="AQ12" s="44"/>
    </row>
    <row r="13">
      <c r="C13" s="43"/>
      <c r="M13" s="44"/>
      <c r="R13" s="43"/>
      <c r="AB13" s="44"/>
      <c r="AG13" s="43"/>
      <c r="AQ13" s="44"/>
    </row>
    <row r="14">
      <c r="C14" s="43"/>
      <c r="M14" s="44"/>
      <c r="R14" s="43"/>
      <c r="AB14" s="44"/>
      <c r="AG14" s="43"/>
      <c r="AQ14" s="44"/>
    </row>
    <row r="15">
      <c r="C15" s="43"/>
      <c r="M15" s="44"/>
      <c r="R15" s="43"/>
      <c r="AB15" s="44"/>
      <c r="AG15" s="43"/>
      <c r="AQ15" s="44"/>
    </row>
    <row r="16">
      <c r="C16" s="43"/>
      <c r="M16" s="44"/>
      <c r="R16" s="43"/>
      <c r="AB16" s="44"/>
      <c r="AG16" s="43"/>
      <c r="AQ16" s="44"/>
    </row>
    <row r="17">
      <c r="C17" s="43"/>
      <c r="M17" s="44"/>
      <c r="R17" s="43"/>
      <c r="AB17" s="44"/>
      <c r="AG17" s="43"/>
      <c r="AQ17" s="44"/>
    </row>
    <row r="18">
      <c r="C18" s="43"/>
      <c r="M18" s="44"/>
      <c r="R18" s="43"/>
      <c r="AB18" s="44"/>
      <c r="AG18" s="43"/>
      <c r="AQ18" s="44"/>
    </row>
    <row r="19">
      <c r="C19" s="43"/>
      <c r="M19" s="44"/>
      <c r="R19" s="43"/>
      <c r="AB19" s="44"/>
      <c r="AG19" s="43"/>
      <c r="AQ19" s="44"/>
    </row>
    <row r="20">
      <c r="C20" s="43"/>
      <c r="M20" s="44"/>
      <c r="R20" s="43"/>
      <c r="AB20" s="44"/>
      <c r="AG20" s="43"/>
      <c r="AQ20" s="44"/>
    </row>
    <row r="21">
      <c r="C21" s="43"/>
      <c r="M21" s="44"/>
      <c r="R21" s="43"/>
      <c r="AB21" s="44"/>
      <c r="AG21" s="43"/>
      <c r="AQ21" s="44"/>
    </row>
    <row r="22">
      <c r="C22" s="43"/>
      <c r="M22" s="44"/>
      <c r="R22" s="43"/>
      <c r="AB22" s="44"/>
      <c r="AG22" s="43"/>
      <c r="AQ22" s="44"/>
    </row>
    <row r="23">
      <c r="C23" s="43"/>
      <c r="M23" s="44"/>
      <c r="R23" s="43"/>
      <c r="AB23" s="44"/>
      <c r="AG23" s="43"/>
      <c r="AQ23" s="44"/>
    </row>
    <row r="24">
      <c r="C24" s="43"/>
      <c r="M24" s="44"/>
      <c r="R24" s="43"/>
      <c r="AB24" s="44"/>
      <c r="AG24" s="43"/>
      <c r="AQ24" s="44"/>
    </row>
    <row r="25">
      <c r="C25" s="43"/>
      <c r="M25" s="44"/>
      <c r="R25" s="43"/>
      <c r="AB25" s="44"/>
      <c r="AG25" s="43"/>
      <c r="AQ25" s="44"/>
    </row>
    <row r="26">
      <c r="C26" s="43"/>
      <c r="M26" s="44"/>
      <c r="R26" s="43"/>
      <c r="AB26" s="44"/>
      <c r="AG26" s="43"/>
      <c r="AQ26" s="44"/>
    </row>
    <row r="27">
      <c r="C27" s="43"/>
      <c r="M27" s="44"/>
      <c r="R27" s="43"/>
      <c r="AB27" s="44"/>
      <c r="AG27" s="43"/>
      <c r="AQ27" s="44"/>
    </row>
    <row r="28">
      <c r="C28" s="43"/>
      <c r="M28" s="44"/>
      <c r="R28" s="43"/>
      <c r="AB28" s="44"/>
      <c r="AG28" s="43"/>
      <c r="AQ28" s="44"/>
    </row>
    <row r="29">
      <c r="C29" s="43"/>
      <c r="M29" s="44"/>
      <c r="R29" s="43"/>
      <c r="AB29" s="44"/>
      <c r="AG29" s="43"/>
      <c r="AQ29" s="44"/>
    </row>
    <row r="30">
      <c r="C30" s="43"/>
      <c r="M30" s="44"/>
      <c r="R30" s="43"/>
      <c r="AB30" s="44"/>
      <c r="AG30" s="43"/>
      <c r="AQ30" s="44"/>
    </row>
    <row r="31">
      <c r="C31" s="43"/>
      <c r="M31" s="44"/>
      <c r="R31" s="43"/>
      <c r="AB31" s="44"/>
      <c r="AG31" s="43"/>
      <c r="AQ31" s="44"/>
    </row>
    <row r="32">
      <c r="C32" s="43"/>
      <c r="M32" s="44"/>
      <c r="R32" s="43"/>
      <c r="AB32" s="44"/>
      <c r="AG32" s="43"/>
      <c r="AQ32" s="44"/>
    </row>
    <row r="33">
      <c r="C33" s="43"/>
      <c r="M33" s="44"/>
      <c r="R33" s="43"/>
      <c r="AB33" s="44"/>
      <c r="AG33" s="43"/>
      <c r="AQ33" s="44"/>
    </row>
    <row r="34">
      <c r="C34" s="46"/>
      <c r="D34" s="48"/>
      <c r="E34" s="48"/>
      <c r="F34" s="48"/>
      <c r="G34" s="48"/>
      <c r="H34" s="48"/>
      <c r="I34" s="48"/>
      <c r="J34" s="48"/>
      <c r="K34" s="48"/>
      <c r="L34" s="48"/>
      <c r="M34" s="47"/>
      <c r="R34" s="46"/>
      <c r="S34" s="48"/>
      <c r="T34" s="48"/>
      <c r="U34" s="48"/>
      <c r="V34" s="48"/>
      <c r="W34" s="48"/>
      <c r="X34" s="48"/>
      <c r="Y34" s="48"/>
      <c r="Z34" s="48"/>
      <c r="AA34" s="48"/>
      <c r="AB34" s="47"/>
      <c r="AG34" s="46"/>
      <c r="AH34" s="48"/>
      <c r="AI34" s="48"/>
      <c r="AJ34" s="48"/>
      <c r="AK34" s="48"/>
      <c r="AL34" s="48"/>
      <c r="AM34" s="48"/>
      <c r="AN34" s="48"/>
      <c r="AO34" s="48"/>
      <c r="AP34" s="48"/>
      <c r="AQ34" s="47"/>
    </row>
    <row r="38">
      <c r="B38" s="49" t="s">
        <v>194</v>
      </c>
      <c r="C38" s="50" t="s">
        <v>450</v>
      </c>
      <c r="D38" s="50" t="s">
        <v>451</v>
      </c>
      <c r="E38" s="51" t="s">
        <v>451</v>
      </c>
      <c r="F38" s="52" t="s">
        <v>0</v>
      </c>
      <c r="G38" s="39"/>
      <c r="H38" s="39"/>
      <c r="I38" s="39"/>
      <c r="J38" s="39"/>
      <c r="K38" s="39"/>
      <c r="L38" s="39"/>
      <c r="M38" s="39"/>
      <c r="N38" s="39"/>
      <c r="O38" s="39"/>
      <c r="P38" s="39"/>
      <c r="Q38" s="39"/>
      <c r="R38" s="39"/>
      <c r="S38" s="39"/>
      <c r="T38" s="39"/>
      <c r="U38" s="39"/>
      <c r="V38" s="39"/>
      <c r="W38" s="39"/>
      <c r="X38" s="39"/>
      <c r="Y38" s="53"/>
      <c r="Z38" s="51" t="s">
        <v>452</v>
      </c>
      <c r="AA38" s="39"/>
      <c r="AB38" s="39"/>
      <c r="AC38" s="39"/>
      <c r="AD38" s="39"/>
      <c r="AE38" s="39"/>
      <c r="AF38" s="39"/>
      <c r="AG38" s="39"/>
      <c r="AH38" s="39"/>
      <c r="AI38" s="39"/>
      <c r="AJ38" s="39"/>
      <c r="AK38" s="39"/>
      <c r="AL38" s="39"/>
      <c r="AM38" s="39"/>
      <c r="AN38" s="39"/>
      <c r="AO38" s="39"/>
      <c r="AP38" s="39"/>
      <c r="AQ38" s="39"/>
      <c r="AR38" s="39"/>
      <c r="AS38" s="53"/>
      <c r="AT38" s="51" t="s">
        <v>453</v>
      </c>
      <c r="AU38" s="40"/>
    </row>
    <row r="39">
      <c r="A39" s="54"/>
      <c r="B39" s="46"/>
      <c r="C39" s="55"/>
      <c r="D39" s="55" t="s">
        <v>454</v>
      </c>
      <c r="E39" s="56" t="s">
        <v>223</v>
      </c>
      <c r="F39" s="57" t="s">
        <v>455</v>
      </c>
      <c r="G39" s="56" t="s">
        <v>456</v>
      </c>
      <c r="H39" s="56" t="s">
        <v>457</v>
      </c>
      <c r="I39" s="56" t="s">
        <v>458</v>
      </c>
      <c r="J39" s="56" t="s">
        <v>459</v>
      </c>
      <c r="K39" s="56" t="s">
        <v>460</v>
      </c>
      <c r="L39" s="56" t="s">
        <v>461</v>
      </c>
      <c r="M39" s="56" t="s">
        <v>462</v>
      </c>
      <c r="N39" s="56" t="s">
        <v>463</v>
      </c>
      <c r="O39" s="56" t="s">
        <v>464</v>
      </c>
      <c r="P39" s="56" t="s">
        <v>465</v>
      </c>
      <c r="Q39" s="56" t="s">
        <v>466</v>
      </c>
      <c r="R39" s="56" t="s">
        <v>467</v>
      </c>
      <c r="S39" s="56" t="s">
        <v>468</v>
      </c>
      <c r="T39" s="56" t="s">
        <v>469</v>
      </c>
      <c r="U39" s="56" t="s">
        <v>470</v>
      </c>
      <c r="V39" s="56" t="s">
        <v>471</v>
      </c>
      <c r="W39" s="56" t="s">
        <v>472</v>
      </c>
      <c r="X39" s="56" t="s">
        <v>473</v>
      </c>
      <c r="Y39" s="58" t="s">
        <v>474</v>
      </c>
      <c r="Z39" s="57" t="s">
        <v>455</v>
      </c>
      <c r="AA39" s="56" t="s">
        <v>456</v>
      </c>
      <c r="AB39" s="56" t="s">
        <v>457</v>
      </c>
      <c r="AC39" s="56" t="s">
        <v>458</v>
      </c>
      <c r="AD39" s="56" t="s">
        <v>459</v>
      </c>
      <c r="AE39" s="56" t="s">
        <v>460</v>
      </c>
      <c r="AF39" s="56" t="s">
        <v>461</v>
      </c>
      <c r="AG39" s="56" t="s">
        <v>462</v>
      </c>
      <c r="AH39" s="56" t="s">
        <v>463</v>
      </c>
      <c r="AI39" s="56" t="s">
        <v>464</v>
      </c>
      <c r="AJ39" s="56" t="s">
        <v>465</v>
      </c>
      <c r="AK39" s="56" t="s">
        <v>466</v>
      </c>
      <c r="AL39" s="56" t="s">
        <v>467</v>
      </c>
      <c r="AM39" s="56" t="s">
        <v>468</v>
      </c>
      <c r="AN39" s="56" t="s">
        <v>469</v>
      </c>
      <c r="AO39" s="56" t="s">
        <v>470</v>
      </c>
      <c r="AP39" s="56" t="s">
        <v>471</v>
      </c>
      <c r="AQ39" s="56" t="s">
        <v>472</v>
      </c>
      <c r="AR39" s="56" t="s">
        <v>473</v>
      </c>
      <c r="AS39" s="58" t="s">
        <v>474</v>
      </c>
      <c r="AT39" s="48"/>
      <c r="AU39" s="47"/>
      <c r="AV39" s="59"/>
    </row>
    <row r="40">
      <c r="B40" s="60">
        <v>0.0</v>
      </c>
      <c r="C40" s="23" t="s">
        <v>455</v>
      </c>
      <c r="D40" s="23">
        <v>1.0</v>
      </c>
      <c r="E40" s="23">
        <v>0.0</v>
      </c>
      <c r="F40" s="16">
        <v>0.0</v>
      </c>
      <c r="G40" s="16">
        <v>0.0</v>
      </c>
      <c r="H40" s="16">
        <v>0.0</v>
      </c>
      <c r="I40" s="16">
        <v>0.0</v>
      </c>
      <c r="J40" s="16">
        <v>0.0</v>
      </c>
      <c r="K40" s="16">
        <v>0.0</v>
      </c>
      <c r="L40" s="16">
        <v>0.0</v>
      </c>
      <c r="M40" s="16">
        <v>0.0</v>
      </c>
      <c r="N40" s="16">
        <v>0.0</v>
      </c>
      <c r="O40" s="16">
        <v>0.0</v>
      </c>
      <c r="P40" s="16">
        <v>0.0</v>
      </c>
      <c r="Q40" s="16">
        <v>0.0</v>
      </c>
      <c r="R40" s="16">
        <v>8.0</v>
      </c>
      <c r="S40" s="16">
        <v>0.0</v>
      </c>
      <c r="T40" s="16">
        <v>0.0</v>
      </c>
      <c r="U40" s="16">
        <v>11.0</v>
      </c>
      <c r="V40" s="16">
        <v>17.0</v>
      </c>
      <c r="W40" s="16">
        <v>0.0</v>
      </c>
      <c r="X40" s="16">
        <v>42.0</v>
      </c>
      <c r="Y40" s="23">
        <v>38.0</v>
      </c>
      <c r="Z40" s="16">
        <v>5.0</v>
      </c>
      <c r="AA40" s="16">
        <v>0.0</v>
      </c>
      <c r="AB40" s="16">
        <v>1.0</v>
      </c>
      <c r="AC40" s="16">
        <v>1.0</v>
      </c>
      <c r="AD40" s="16">
        <v>24.0</v>
      </c>
      <c r="AE40" s="16">
        <v>23.0</v>
      </c>
      <c r="AF40" s="16">
        <v>8.0</v>
      </c>
      <c r="AG40" s="16">
        <v>0.0</v>
      </c>
      <c r="AH40" s="16">
        <v>10.0</v>
      </c>
      <c r="AI40" s="16">
        <v>12.0</v>
      </c>
      <c r="AJ40" s="16">
        <v>4.0</v>
      </c>
      <c r="AK40" s="16">
        <v>12.0</v>
      </c>
      <c r="AL40" s="16">
        <v>10.0</v>
      </c>
      <c r="AM40" s="16">
        <v>13.0</v>
      </c>
      <c r="AN40" s="16">
        <v>3.0</v>
      </c>
      <c r="AO40" s="16">
        <v>14.0</v>
      </c>
      <c r="AP40" s="16">
        <v>20.0</v>
      </c>
      <c r="AQ40" s="16">
        <v>25.0</v>
      </c>
      <c r="AR40" s="16">
        <v>30.0</v>
      </c>
      <c r="AS40" s="23">
        <v>29.0</v>
      </c>
      <c r="AT40" s="16">
        <v>48.0</v>
      </c>
      <c r="AU40" s="61">
        <v>48.0</v>
      </c>
    </row>
    <row r="41">
      <c r="B41" s="60">
        <v>1.0</v>
      </c>
      <c r="C41" s="23" t="s">
        <v>475</v>
      </c>
      <c r="D41" s="23">
        <v>1.0</v>
      </c>
      <c r="E41" s="23">
        <v>1.0</v>
      </c>
      <c r="F41" s="16">
        <v>1.0</v>
      </c>
      <c r="G41" s="16">
        <v>1.0</v>
      </c>
      <c r="H41" s="16">
        <v>1.0</v>
      </c>
      <c r="I41" s="16">
        <v>1.0</v>
      </c>
      <c r="J41" s="16">
        <v>1.0</v>
      </c>
      <c r="K41" s="16">
        <v>1.0</v>
      </c>
      <c r="L41" s="16">
        <v>1.0</v>
      </c>
      <c r="M41" s="16">
        <v>1.0</v>
      </c>
      <c r="N41" s="16">
        <v>1.0</v>
      </c>
      <c r="O41" s="16">
        <v>1.0</v>
      </c>
      <c r="P41" s="16">
        <v>1.0</v>
      </c>
      <c r="Q41" s="16">
        <v>1.0</v>
      </c>
      <c r="R41" s="16">
        <v>8.0</v>
      </c>
      <c r="S41" s="16">
        <v>1.0</v>
      </c>
      <c r="T41" s="16">
        <v>1.0</v>
      </c>
      <c r="U41" s="16">
        <v>11.0</v>
      </c>
      <c r="V41" s="16">
        <v>17.0</v>
      </c>
      <c r="W41" s="16">
        <v>1.0</v>
      </c>
      <c r="X41" s="16">
        <v>42.0</v>
      </c>
      <c r="Y41" s="23">
        <v>38.0</v>
      </c>
      <c r="Z41" s="16">
        <v>6.0</v>
      </c>
      <c r="AA41" s="16">
        <v>1.0</v>
      </c>
      <c r="AB41" s="16">
        <v>1.0</v>
      </c>
      <c r="AC41" s="16">
        <v>1.0</v>
      </c>
      <c r="AD41" s="16">
        <v>24.0</v>
      </c>
      <c r="AE41" s="16">
        <v>22.0</v>
      </c>
      <c r="AF41" s="16">
        <v>8.0</v>
      </c>
      <c r="AG41" s="16">
        <v>1.0</v>
      </c>
      <c r="AH41" s="16">
        <v>10.0</v>
      </c>
      <c r="AI41" s="16">
        <v>12.0</v>
      </c>
      <c r="AJ41" s="16">
        <v>4.0</v>
      </c>
      <c r="AK41" s="16">
        <v>12.0</v>
      </c>
      <c r="AL41" s="16">
        <v>10.0</v>
      </c>
      <c r="AM41" s="16">
        <v>13.0</v>
      </c>
      <c r="AN41" s="16">
        <v>3.0</v>
      </c>
      <c r="AO41" s="16">
        <v>14.0</v>
      </c>
      <c r="AP41" s="16">
        <v>20.0</v>
      </c>
      <c r="AQ41" s="16">
        <v>25.0</v>
      </c>
      <c r="AR41" s="16">
        <v>30.0</v>
      </c>
      <c r="AS41" s="23">
        <v>29.0</v>
      </c>
      <c r="AT41" s="16">
        <v>48.0</v>
      </c>
      <c r="AU41" s="61">
        <v>48.0</v>
      </c>
    </row>
    <row r="42">
      <c r="B42" s="60">
        <v>2.0</v>
      </c>
      <c r="C42" s="23" t="s">
        <v>476</v>
      </c>
      <c r="D42" s="23">
        <v>1.0</v>
      </c>
      <c r="E42" s="23">
        <v>0.0</v>
      </c>
      <c r="F42" s="16">
        <v>2.0</v>
      </c>
      <c r="G42" s="16">
        <f t="shared" ref="G42:Q42" si="1">F42</f>
        <v>2</v>
      </c>
      <c r="H42" s="16">
        <f t="shared" si="1"/>
        <v>2</v>
      </c>
      <c r="I42" s="16">
        <f t="shared" si="1"/>
        <v>2</v>
      </c>
      <c r="J42" s="16">
        <f t="shared" si="1"/>
        <v>2</v>
      </c>
      <c r="K42" s="16">
        <f t="shared" si="1"/>
        <v>2</v>
      </c>
      <c r="L42" s="16">
        <f t="shared" si="1"/>
        <v>2</v>
      </c>
      <c r="M42" s="16">
        <f t="shared" si="1"/>
        <v>2</v>
      </c>
      <c r="N42" s="16">
        <f t="shared" si="1"/>
        <v>2</v>
      </c>
      <c r="O42" s="16">
        <f t="shared" si="1"/>
        <v>2</v>
      </c>
      <c r="P42" s="16">
        <f t="shared" si="1"/>
        <v>2</v>
      </c>
      <c r="Q42" s="16">
        <f t="shared" si="1"/>
        <v>2</v>
      </c>
      <c r="R42" s="16">
        <v>8.0</v>
      </c>
      <c r="S42" s="62">
        <f t="shared" ref="S42:S43" si="3">F42</f>
        <v>2</v>
      </c>
      <c r="T42" s="62">
        <f t="shared" ref="T42:T43" si="4">F42</f>
        <v>2</v>
      </c>
      <c r="U42" s="16">
        <v>11.0</v>
      </c>
      <c r="V42" s="16">
        <v>17.0</v>
      </c>
      <c r="W42" s="62">
        <f t="shared" ref="W42:W47" si="5">F42</f>
        <v>2</v>
      </c>
      <c r="X42" s="16">
        <v>43.0</v>
      </c>
      <c r="Y42" s="23">
        <v>39.0</v>
      </c>
      <c r="Z42" s="16">
        <v>5.0</v>
      </c>
      <c r="AA42" s="16">
        <v>0.0</v>
      </c>
      <c r="AB42" s="16">
        <v>1.0</v>
      </c>
      <c r="AC42" s="16">
        <v>1.0</v>
      </c>
      <c r="AD42" s="16">
        <v>24.0</v>
      </c>
      <c r="AE42" s="16">
        <v>23.0</v>
      </c>
      <c r="AF42" s="16">
        <v>8.0</v>
      </c>
      <c r="AG42" s="16">
        <v>0.0</v>
      </c>
      <c r="AH42" s="16">
        <v>10.0</v>
      </c>
      <c r="AI42" s="16">
        <v>12.0</v>
      </c>
      <c r="AJ42" s="16">
        <v>4.0</v>
      </c>
      <c r="AK42" s="16">
        <v>12.0</v>
      </c>
      <c r="AL42" s="16">
        <v>10.0</v>
      </c>
      <c r="AM42" s="16">
        <v>13.0</v>
      </c>
      <c r="AN42" s="16">
        <v>3.0</v>
      </c>
      <c r="AO42" s="16">
        <v>14.0</v>
      </c>
      <c r="AP42" s="16">
        <v>20.0</v>
      </c>
      <c r="AQ42" s="16">
        <v>25.0</v>
      </c>
      <c r="AR42" s="16">
        <v>31.0</v>
      </c>
      <c r="AS42" s="23">
        <v>29.0</v>
      </c>
      <c r="AT42" s="16">
        <v>48.0</v>
      </c>
      <c r="AU42" s="61">
        <v>48.0</v>
      </c>
    </row>
    <row r="43">
      <c r="B43" s="60">
        <v>3.0</v>
      </c>
      <c r="C43" s="23" t="s">
        <v>477</v>
      </c>
      <c r="D43" s="23">
        <v>1.0</v>
      </c>
      <c r="E43" s="23">
        <v>1.0</v>
      </c>
      <c r="F43" s="16">
        <v>3.0</v>
      </c>
      <c r="G43" s="16">
        <f t="shared" ref="G43:Q43" si="2">F43</f>
        <v>3</v>
      </c>
      <c r="H43" s="16">
        <f t="shared" si="2"/>
        <v>3</v>
      </c>
      <c r="I43" s="16">
        <f t="shared" si="2"/>
        <v>3</v>
      </c>
      <c r="J43" s="16">
        <f t="shared" si="2"/>
        <v>3</v>
      </c>
      <c r="K43" s="16">
        <f t="shared" si="2"/>
        <v>3</v>
      </c>
      <c r="L43" s="16">
        <f t="shared" si="2"/>
        <v>3</v>
      </c>
      <c r="M43" s="16">
        <f t="shared" si="2"/>
        <v>3</v>
      </c>
      <c r="N43" s="16">
        <f t="shared" si="2"/>
        <v>3</v>
      </c>
      <c r="O43" s="16">
        <f t="shared" si="2"/>
        <v>3</v>
      </c>
      <c r="P43" s="16">
        <f t="shared" si="2"/>
        <v>3</v>
      </c>
      <c r="Q43" s="16">
        <f t="shared" si="2"/>
        <v>3</v>
      </c>
      <c r="R43" s="16">
        <v>8.0</v>
      </c>
      <c r="S43" s="62">
        <f t="shared" si="3"/>
        <v>3</v>
      </c>
      <c r="T43" s="62">
        <f t="shared" si="4"/>
        <v>3</v>
      </c>
      <c r="U43" s="16">
        <v>11.0</v>
      </c>
      <c r="V43" s="16">
        <v>17.0</v>
      </c>
      <c r="W43" s="62">
        <f t="shared" si="5"/>
        <v>3</v>
      </c>
      <c r="X43" s="62">
        <f t="shared" ref="X43:Y43" si="6">X42</f>
        <v>43</v>
      </c>
      <c r="Y43" s="63">
        <f t="shared" si="6"/>
        <v>39</v>
      </c>
      <c r="Z43" s="16">
        <v>6.0</v>
      </c>
      <c r="AA43" s="16">
        <v>1.0</v>
      </c>
      <c r="AB43" s="16">
        <v>1.0</v>
      </c>
      <c r="AC43" s="16">
        <v>1.0</v>
      </c>
      <c r="AD43" s="16">
        <v>24.0</v>
      </c>
      <c r="AE43" s="16">
        <v>22.0</v>
      </c>
      <c r="AF43" s="16">
        <v>8.0</v>
      </c>
      <c r="AG43" s="16">
        <v>1.0</v>
      </c>
      <c r="AH43" s="16">
        <v>10.0</v>
      </c>
      <c r="AI43" s="16">
        <v>12.0</v>
      </c>
      <c r="AJ43" s="16">
        <v>4.0</v>
      </c>
      <c r="AK43" s="16">
        <v>12.0</v>
      </c>
      <c r="AL43" s="16">
        <v>10.0</v>
      </c>
      <c r="AM43" s="16">
        <v>13.0</v>
      </c>
      <c r="AN43" s="16">
        <v>3.0</v>
      </c>
      <c r="AO43" s="16">
        <v>14.0</v>
      </c>
      <c r="AP43" s="16">
        <v>20.0</v>
      </c>
      <c r="AQ43" s="16">
        <v>25.0</v>
      </c>
      <c r="AR43" s="16">
        <v>31.0</v>
      </c>
      <c r="AS43" s="23">
        <v>29.0</v>
      </c>
      <c r="AT43" s="16">
        <v>48.0</v>
      </c>
      <c r="AU43" s="61">
        <v>48.0</v>
      </c>
    </row>
    <row r="44">
      <c r="B44" s="60">
        <v>4.0</v>
      </c>
      <c r="C44" s="23" t="s">
        <v>465</v>
      </c>
      <c r="D44" s="23">
        <v>0.0</v>
      </c>
      <c r="E44" s="23">
        <v>0.0</v>
      </c>
      <c r="F44" s="16">
        <v>4.0</v>
      </c>
      <c r="G44" s="16">
        <f t="shared" ref="G44:L44" si="7">F44</f>
        <v>4</v>
      </c>
      <c r="H44" s="16">
        <f t="shared" si="7"/>
        <v>4</v>
      </c>
      <c r="I44" s="16">
        <f t="shared" si="7"/>
        <v>4</v>
      </c>
      <c r="J44" s="16">
        <f t="shared" si="7"/>
        <v>4</v>
      </c>
      <c r="K44" s="16">
        <f t="shared" si="7"/>
        <v>4</v>
      </c>
      <c r="L44" s="16">
        <f t="shared" si="7"/>
        <v>4</v>
      </c>
      <c r="N44" s="62">
        <f t="shared" ref="N44:Q44" si="8">F44</f>
        <v>4</v>
      </c>
      <c r="O44" s="62">
        <f t="shared" si="8"/>
        <v>4</v>
      </c>
      <c r="P44" s="62">
        <f t="shared" si="8"/>
        <v>4</v>
      </c>
      <c r="Q44" s="62">
        <f t="shared" si="8"/>
        <v>4</v>
      </c>
      <c r="R44" s="16">
        <v>8.0</v>
      </c>
      <c r="S44" s="62">
        <f t="shared" ref="S44:T44" si="9">K44</f>
        <v>4</v>
      </c>
      <c r="T44" s="62">
        <f t="shared" si="9"/>
        <v>4</v>
      </c>
      <c r="U44" s="16">
        <v>11.0</v>
      </c>
      <c r="V44" s="16">
        <v>17.0</v>
      </c>
      <c r="W44" s="62">
        <f t="shared" si="5"/>
        <v>4</v>
      </c>
      <c r="X44" s="62">
        <f t="shared" ref="X44:Y44" si="10">X42</f>
        <v>43</v>
      </c>
      <c r="Y44" s="63">
        <f t="shared" si="10"/>
        <v>39</v>
      </c>
      <c r="Z44" s="16">
        <v>5.0</v>
      </c>
      <c r="AA44" s="16">
        <v>0.0</v>
      </c>
      <c r="AB44" s="16">
        <v>1.0</v>
      </c>
      <c r="AC44" s="16">
        <v>1.0</v>
      </c>
      <c r="AD44" s="16">
        <v>4.0</v>
      </c>
      <c r="AE44" s="16">
        <v>23.0</v>
      </c>
      <c r="AF44" s="16">
        <v>9.0</v>
      </c>
      <c r="AG44" s="16">
        <v>0.0</v>
      </c>
      <c r="AH44" s="16">
        <v>11.0</v>
      </c>
      <c r="AI44" s="16">
        <v>12.0</v>
      </c>
      <c r="AJ44" s="16">
        <v>4.0</v>
      </c>
      <c r="AK44" s="16">
        <v>12.0</v>
      </c>
      <c r="AL44" s="16">
        <v>10.0</v>
      </c>
      <c r="AM44" s="16">
        <v>13.0</v>
      </c>
      <c r="AN44" s="16">
        <v>3.0</v>
      </c>
      <c r="AO44" s="16">
        <v>14.0</v>
      </c>
      <c r="AP44" s="16">
        <v>20.0</v>
      </c>
      <c r="AQ44" s="16">
        <v>25.0</v>
      </c>
      <c r="AR44" s="16">
        <v>31.0</v>
      </c>
      <c r="AS44" s="23">
        <v>29.0</v>
      </c>
      <c r="AT44" s="16">
        <v>48.0</v>
      </c>
      <c r="AU44" s="61">
        <v>48.0</v>
      </c>
    </row>
    <row r="45">
      <c r="B45" s="60">
        <v>5.0</v>
      </c>
      <c r="C45" s="23" t="s">
        <v>478</v>
      </c>
      <c r="D45" s="23">
        <v>0.0</v>
      </c>
      <c r="E45" s="23">
        <v>0.0</v>
      </c>
      <c r="F45" s="16">
        <v>5.0</v>
      </c>
      <c r="G45" s="16">
        <f t="shared" ref="G45:L45" si="11">F45</f>
        <v>5</v>
      </c>
      <c r="H45" s="16">
        <f t="shared" si="11"/>
        <v>5</v>
      </c>
      <c r="I45" s="16">
        <f t="shared" si="11"/>
        <v>5</v>
      </c>
      <c r="J45" s="16">
        <f t="shared" si="11"/>
        <v>5</v>
      </c>
      <c r="K45" s="16">
        <f t="shared" si="11"/>
        <v>5</v>
      </c>
      <c r="L45" s="16">
        <f t="shared" si="11"/>
        <v>5</v>
      </c>
      <c r="N45" s="62">
        <f t="shared" ref="N45:Q45" si="12">F45</f>
        <v>5</v>
      </c>
      <c r="O45" s="62">
        <f t="shared" si="12"/>
        <v>5</v>
      </c>
      <c r="P45" s="62">
        <f t="shared" si="12"/>
        <v>5</v>
      </c>
      <c r="Q45" s="62">
        <f t="shared" si="12"/>
        <v>5</v>
      </c>
      <c r="R45" s="16">
        <v>8.0</v>
      </c>
      <c r="S45" s="62">
        <f t="shared" ref="S45:T45" si="13">K45</f>
        <v>5</v>
      </c>
      <c r="T45" s="62">
        <f t="shared" si="13"/>
        <v>5</v>
      </c>
      <c r="U45" s="16">
        <v>11.0</v>
      </c>
      <c r="V45" s="16">
        <v>17.0</v>
      </c>
      <c r="W45" s="62">
        <f t="shared" si="5"/>
        <v>5</v>
      </c>
      <c r="X45" s="16">
        <v>44.0</v>
      </c>
      <c r="Y45" s="23">
        <v>40.0</v>
      </c>
      <c r="Z45" s="16">
        <v>5.0</v>
      </c>
      <c r="AA45" s="16">
        <v>0.0</v>
      </c>
      <c r="AB45" s="16">
        <v>1.0</v>
      </c>
      <c r="AC45" s="16">
        <v>1.0</v>
      </c>
      <c r="AD45" s="16">
        <v>4.0</v>
      </c>
      <c r="AE45" s="16">
        <v>23.0</v>
      </c>
      <c r="AF45" s="16">
        <v>9.0</v>
      </c>
      <c r="AG45" s="16">
        <v>4.0</v>
      </c>
      <c r="AH45" s="16">
        <v>11.0</v>
      </c>
      <c r="AI45" s="16">
        <v>12.0</v>
      </c>
      <c r="AJ45" s="16">
        <v>4.0</v>
      </c>
      <c r="AK45" s="16">
        <v>12.0</v>
      </c>
      <c r="AL45" s="16">
        <v>10.0</v>
      </c>
      <c r="AM45" s="16">
        <v>13.0</v>
      </c>
      <c r="AN45" s="16">
        <v>3.0</v>
      </c>
      <c r="AO45" s="16">
        <v>14.0</v>
      </c>
      <c r="AP45" s="16">
        <v>20.0</v>
      </c>
      <c r="AQ45" s="16">
        <v>25.0</v>
      </c>
      <c r="AR45" s="16">
        <v>32.0</v>
      </c>
      <c r="AS45" s="23">
        <v>29.0</v>
      </c>
      <c r="AT45" s="16">
        <v>48.0</v>
      </c>
      <c r="AU45" s="61">
        <v>48.0</v>
      </c>
    </row>
    <row r="46">
      <c r="B46" s="60">
        <v>6.0</v>
      </c>
      <c r="C46" s="23" t="s">
        <v>479</v>
      </c>
      <c r="D46" s="23">
        <v>1.0</v>
      </c>
      <c r="E46" s="23">
        <v>1.0</v>
      </c>
      <c r="F46" s="16">
        <v>6.0</v>
      </c>
      <c r="G46" s="16">
        <f t="shared" ref="G46:Q46" si="14">F46</f>
        <v>6</v>
      </c>
      <c r="H46" s="16">
        <f t="shared" si="14"/>
        <v>6</v>
      </c>
      <c r="I46" s="16">
        <f t="shared" si="14"/>
        <v>6</v>
      </c>
      <c r="J46" s="16">
        <f t="shared" si="14"/>
        <v>6</v>
      </c>
      <c r="K46" s="16">
        <f t="shared" si="14"/>
        <v>6</v>
      </c>
      <c r="L46" s="16">
        <f t="shared" si="14"/>
        <v>6</v>
      </c>
      <c r="M46" s="16">
        <f t="shared" si="14"/>
        <v>6</v>
      </c>
      <c r="N46" s="16">
        <f t="shared" si="14"/>
        <v>6</v>
      </c>
      <c r="O46" s="16">
        <f t="shared" si="14"/>
        <v>6</v>
      </c>
      <c r="P46" s="16">
        <f t="shared" si="14"/>
        <v>6</v>
      </c>
      <c r="Q46" s="16">
        <f t="shared" si="14"/>
        <v>6</v>
      </c>
      <c r="R46" s="16">
        <v>8.0</v>
      </c>
      <c r="S46" s="62">
        <f t="shared" ref="S46:T46" si="15">F46</f>
        <v>6</v>
      </c>
      <c r="T46" s="62">
        <f t="shared" si="15"/>
        <v>6</v>
      </c>
      <c r="U46" s="16">
        <v>11.0</v>
      </c>
      <c r="V46" s="16">
        <v>17.0</v>
      </c>
      <c r="W46" s="62">
        <f t="shared" si="5"/>
        <v>6</v>
      </c>
      <c r="X46" s="62">
        <f t="shared" ref="X46:Y46" si="16">X45</f>
        <v>44</v>
      </c>
      <c r="Y46" s="63">
        <f t="shared" si="16"/>
        <v>40</v>
      </c>
      <c r="Z46" s="16">
        <v>5.0</v>
      </c>
      <c r="AA46" s="16">
        <v>0.0</v>
      </c>
      <c r="AB46" s="16">
        <v>1.0</v>
      </c>
      <c r="AC46" s="16">
        <v>1.0</v>
      </c>
      <c r="AD46" s="16">
        <v>5.0</v>
      </c>
      <c r="AE46" s="16">
        <v>23.0</v>
      </c>
      <c r="AF46" s="16">
        <v>9.0</v>
      </c>
      <c r="AG46" s="16">
        <v>0.0</v>
      </c>
      <c r="AH46" s="16">
        <v>10.0</v>
      </c>
      <c r="AI46" s="16">
        <v>12.0</v>
      </c>
      <c r="AJ46" s="16">
        <v>4.0</v>
      </c>
      <c r="AK46" s="16">
        <v>12.0</v>
      </c>
      <c r="AL46" s="16">
        <v>10.0</v>
      </c>
      <c r="AM46" s="16">
        <v>13.0</v>
      </c>
      <c r="AN46" s="16">
        <v>3.0</v>
      </c>
      <c r="AO46" s="16">
        <v>14.0</v>
      </c>
      <c r="AP46" s="16">
        <v>20.0</v>
      </c>
      <c r="AQ46" s="16">
        <v>25.0</v>
      </c>
      <c r="AR46" s="16">
        <v>32.0</v>
      </c>
      <c r="AS46" s="23">
        <v>29.0</v>
      </c>
      <c r="AT46" s="16">
        <v>48.0</v>
      </c>
      <c r="AU46" s="61">
        <v>48.0</v>
      </c>
    </row>
    <row r="47">
      <c r="B47" s="60">
        <v>7.0</v>
      </c>
      <c r="C47" s="23" t="s">
        <v>480</v>
      </c>
      <c r="D47" s="23">
        <v>1.0</v>
      </c>
      <c r="E47" s="23">
        <v>1.0</v>
      </c>
      <c r="F47" s="16">
        <v>7.0</v>
      </c>
      <c r="G47" s="16">
        <f t="shared" ref="G47:T47" si="17">F47</f>
        <v>7</v>
      </c>
      <c r="H47" s="16">
        <f t="shared" si="17"/>
        <v>7</v>
      </c>
      <c r="I47" s="16">
        <f t="shared" si="17"/>
        <v>7</v>
      </c>
      <c r="J47" s="16">
        <f t="shared" si="17"/>
        <v>7</v>
      </c>
      <c r="K47" s="16">
        <f t="shared" si="17"/>
        <v>7</v>
      </c>
      <c r="L47" s="16">
        <f t="shared" si="17"/>
        <v>7</v>
      </c>
      <c r="M47" s="16">
        <f t="shared" si="17"/>
        <v>7</v>
      </c>
      <c r="N47" s="16">
        <f t="shared" si="17"/>
        <v>7</v>
      </c>
      <c r="O47" s="16">
        <f t="shared" si="17"/>
        <v>7</v>
      </c>
      <c r="P47" s="16">
        <f t="shared" si="17"/>
        <v>7</v>
      </c>
      <c r="Q47" s="16">
        <f t="shared" si="17"/>
        <v>7</v>
      </c>
      <c r="R47" s="16">
        <f t="shared" si="17"/>
        <v>7</v>
      </c>
      <c r="S47" s="16">
        <f t="shared" si="17"/>
        <v>7</v>
      </c>
      <c r="T47" s="16">
        <f t="shared" si="17"/>
        <v>7</v>
      </c>
      <c r="U47" s="16">
        <v>11.0</v>
      </c>
      <c r="V47" s="16">
        <v>17.0</v>
      </c>
      <c r="W47" s="62">
        <f t="shared" si="5"/>
        <v>7</v>
      </c>
      <c r="X47" s="62">
        <f t="shared" ref="X47:Y47" si="18">X46</f>
        <v>44</v>
      </c>
      <c r="Y47" s="63">
        <f t="shared" si="18"/>
        <v>40</v>
      </c>
      <c r="Z47" s="16">
        <v>5.0</v>
      </c>
      <c r="AA47" s="16">
        <v>7.0</v>
      </c>
      <c r="AB47" s="16">
        <v>1.0</v>
      </c>
      <c r="AC47" s="16">
        <v>1.0</v>
      </c>
      <c r="AD47" s="16">
        <v>7.0</v>
      </c>
      <c r="AE47" s="16">
        <v>23.0</v>
      </c>
      <c r="AF47" s="16">
        <v>8.0</v>
      </c>
      <c r="AG47" s="16">
        <v>1.0</v>
      </c>
      <c r="AH47" s="16">
        <v>10.0</v>
      </c>
      <c r="AI47" s="16">
        <v>12.0</v>
      </c>
      <c r="AJ47" s="16">
        <v>0.0</v>
      </c>
      <c r="AK47" s="16">
        <v>12.0</v>
      </c>
      <c r="AL47" s="16">
        <v>10.0</v>
      </c>
      <c r="AM47" s="16">
        <v>13.0</v>
      </c>
      <c r="AN47" s="16">
        <v>3.0</v>
      </c>
      <c r="AO47" s="16">
        <v>14.0</v>
      </c>
      <c r="AP47" s="16">
        <v>20.0</v>
      </c>
      <c r="AQ47" s="16">
        <v>25.0</v>
      </c>
      <c r="AR47" s="16">
        <v>32.0</v>
      </c>
      <c r="AS47" s="23">
        <v>29.0</v>
      </c>
      <c r="AT47" s="16">
        <v>48.0</v>
      </c>
      <c r="AU47" s="61">
        <v>48.0</v>
      </c>
    </row>
    <row r="48">
      <c r="B48" s="60">
        <v>8.0</v>
      </c>
      <c r="C48" s="23" t="s">
        <v>481</v>
      </c>
      <c r="D48" s="23">
        <v>1.0</v>
      </c>
      <c r="E48" s="23">
        <v>1.0</v>
      </c>
      <c r="F48" s="16">
        <v>8.0</v>
      </c>
      <c r="G48" s="16">
        <v>8.0</v>
      </c>
      <c r="H48" s="16">
        <v>8.0</v>
      </c>
      <c r="I48" s="16">
        <v>8.0</v>
      </c>
      <c r="J48" s="16">
        <v>8.0</v>
      </c>
      <c r="K48" s="16">
        <v>8.0</v>
      </c>
      <c r="L48" s="16">
        <v>8.0</v>
      </c>
      <c r="N48" s="16">
        <v>8.0</v>
      </c>
      <c r="O48" s="16">
        <v>8.0</v>
      </c>
      <c r="P48" s="16">
        <v>8.0</v>
      </c>
      <c r="Q48" s="16">
        <v>8.0</v>
      </c>
      <c r="R48" s="16">
        <v>8.0</v>
      </c>
      <c r="S48" s="16">
        <v>8.0</v>
      </c>
      <c r="T48" s="16">
        <v>8.0</v>
      </c>
      <c r="U48" s="16">
        <v>11.0</v>
      </c>
      <c r="V48" s="16">
        <v>17.0</v>
      </c>
      <c r="W48" s="16">
        <v>8.0</v>
      </c>
      <c r="X48" s="62">
        <f t="shared" ref="X48:Y48" si="19">X47</f>
        <v>44</v>
      </c>
      <c r="Y48" s="63">
        <f t="shared" si="19"/>
        <v>40</v>
      </c>
      <c r="Z48" s="16">
        <v>5.0</v>
      </c>
      <c r="AA48" s="16">
        <v>0.0</v>
      </c>
      <c r="AB48" s="16">
        <v>1.0</v>
      </c>
      <c r="AC48" s="16">
        <v>1.0</v>
      </c>
      <c r="AD48" s="16">
        <v>8.0</v>
      </c>
      <c r="AE48" s="16">
        <v>23.0</v>
      </c>
      <c r="AF48" s="16">
        <v>8.0</v>
      </c>
      <c r="AG48" s="16">
        <v>0.0</v>
      </c>
      <c r="AH48" s="16">
        <v>10.0</v>
      </c>
      <c r="AI48" s="16">
        <v>12.0</v>
      </c>
      <c r="AJ48" s="16">
        <v>4.0</v>
      </c>
      <c r="AK48" s="16">
        <v>12.0</v>
      </c>
      <c r="AL48" s="16">
        <v>10.0</v>
      </c>
      <c r="AM48" s="16">
        <v>13.0</v>
      </c>
      <c r="AN48" s="16">
        <v>3.0</v>
      </c>
      <c r="AO48" s="16">
        <v>14.0</v>
      </c>
      <c r="AP48" s="16">
        <v>20.0</v>
      </c>
      <c r="AQ48" s="16">
        <v>25.0</v>
      </c>
      <c r="AR48" s="16">
        <v>32.0</v>
      </c>
      <c r="AS48" s="23">
        <v>29.0</v>
      </c>
      <c r="AT48" s="16">
        <v>48.0</v>
      </c>
      <c r="AU48" s="61">
        <v>48.0</v>
      </c>
    </row>
    <row r="49">
      <c r="B49" s="60">
        <v>9.0</v>
      </c>
      <c r="C49" s="23" t="s">
        <v>482</v>
      </c>
      <c r="D49" s="23">
        <v>0.0</v>
      </c>
      <c r="E49" s="23">
        <v>0.0</v>
      </c>
      <c r="F49" s="16">
        <v>9.0</v>
      </c>
      <c r="G49" s="16">
        <f t="shared" ref="G49:L49" si="20">F49</f>
        <v>9</v>
      </c>
      <c r="H49" s="16">
        <f t="shared" si="20"/>
        <v>9</v>
      </c>
      <c r="I49" s="16">
        <f t="shared" si="20"/>
        <v>9</v>
      </c>
      <c r="J49" s="16">
        <f t="shared" si="20"/>
        <v>9</v>
      </c>
      <c r="K49" s="16">
        <f t="shared" si="20"/>
        <v>9</v>
      </c>
      <c r="L49" s="16">
        <f t="shared" si="20"/>
        <v>9</v>
      </c>
      <c r="N49" s="16">
        <f t="shared" ref="N49:T49" si="21">F49</f>
        <v>9</v>
      </c>
      <c r="O49" s="16">
        <f t="shared" si="21"/>
        <v>9</v>
      </c>
      <c r="P49" s="16">
        <f t="shared" si="21"/>
        <v>9</v>
      </c>
      <c r="Q49" s="16">
        <f t="shared" si="21"/>
        <v>9</v>
      </c>
      <c r="R49" s="16">
        <f t="shared" si="21"/>
        <v>9</v>
      </c>
      <c r="S49" s="16">
        <f t="shared" si="21"/>
        <v>9</v>
      </c>
      <c r="T49" s="16">
        <f t="shared" si="21"/>
        <v>9</v>
      </c>
      <c r="U49" s="16">
        <v>11.0</v>
      </c>
      <c r="V49" s="16">
        <v>17.0</v>
      </c>
      <c r="W49" s="62">
        <f t="shared" ref="W49:W50" si="23">F49</f>
        <v>9</v>
      </c>
      <c r="X49" s="16">
        <v>45.0</v>
      </c>
      <c r="Y49" s="23">
        <v>41.0</v>
      </c>
      <c r="Z49" s="16">
        <v>5.0</v>
      </c>
      <c r="AA49" s="16">
        <v>3.0</v>
      </c>
      <c r="AB49" s="16">
        <v>1.0</v>
      </c>
      <c r="AC49" s="16">
        <v>1.0</v>
      </c>
      <c r="AD49" s="16">
        <v>3.0</v>
      </c>
      <c r="AE49" s="16">
        <v>23.0</v>
      </c>
      <c r="AF49" s="16">
        <v>9.0</v>
      </c>
      <c r="AG49" s="16">
        <v>0.0</v>
      </c>
      <c r="AH49" s="16">
        <v>11.0</v>
      </c>
      <c r="AI49" s="16">
        <v>12.0</v>
      </c>
      <c r="AJ49" s="16">
        <v>4.0</v>
      </c>
      <c r="AK49" s="16">
        <v>12.0</v>
      </c>
      <c r="AL49" s="16">
        <v>11.0</v>
      </c>
      <c r="AM49" s="16">
        <v>13.0</v>
      </c>
      <c r="AN49" s="16">
        <v>3.0</v>
      </c>
      <c r="AO49" s="16">
        <v>14.0</v>
      </c>
      <c r="AP49" s="16">
        <v>20.0</v>
      </c>
      <c r="AQ49" s="16">
        <v>25.0</v>
      </c>
      <c r="AR49" s="16">
        <v>33.0</v>
      </c>
      <c r="AS49" s="23">
        <v>29.0</v>
      </c>
      <c r="AT49" s="16">
        <v>48.0</v>
      </c>
      <c r="AU49" s="61">
        <v>48.0</v>
      </c>
    </row>
    <row r="50">
      <c r="B50" s="60">
        <v>10.0</v>
      </c>
      <c r="C50" s="23" t="s">
        <v>463</v>
      </c>
      <c r="D50" s="23">
        <v>1.0</v>
      </c>
      <c r="E50" s="23">
        <v>0.0</v>
      </c>
      <c r="F50" s="16">
        <v>10.0</v>
      </c>
      <c r="G50" s="16">
        <f t="shared" ref="G50:T50" si="22">F50</f>
        <v>10</v>
      </c>
      <c r="H50" s="16">
        <f t="shared" si="22"/>
        <v>10</v>
      </c>
      <c r="I50" s="16">
        <f t="shared" si="22"/>
        <v>10</v>
      </c>
      <c r="J50" s="16">
        <f t="shared" si="22"/>
        <v>10</v>
      </c>
      <c r="K50" s="16">
        <f t="shared" si="22"/>
        <v>10</v>
      </c>
      <c r="L50" s="16">
        <f t="shared" si="22"/>
        <v>10</v>
      </c>
      <c r="M50" s="16">
        <f t="shared" si="22"/>
        <v>10</v>
      </c>
      <c r="N50" s="16">
        <f t="shared" si="22"/>
        <v>10</v>
      </c>
      <c r="O50" s="16">
        <f t="shared" si="22"/>
        <v>10</v>
      </c>
      <c r="P50" s="16">
        <f t="shared" si="22"/>
        <v>10</v>
      </c>
      <c r="Q50" s="16">
        <f t="shared" si="22"/>
        <v>10</v>
      </c>
      <c r="R50" s="16">
        <f t="shared" si="22"/>
        <v>10</v>
      </c>
      <c r="S50" s="16">
        <f t="shared" si="22"/>
        <v>10</v>
      </c>
      <c r="T50" s="16">
        <f t="shared" si="22"/>
        <v>10</v>
      </c>
      <c r="U50" s="16">
        <v>11.0</v>
      </c>
      <c r="V50" s="16">
        <v>17.0</v>
      </c>
      <c r="W50" s="62">
        <f t="shared" si="23"/>
        <v>10</v>
      </c>
      <c r="X50" s="62">
        <f t="shared" ref="X50:Y50" si="24">X49</f>
        <v>45</v>
      </c>
      <c r="Y50" s="63">
        <f t="shared" si="24"/>
        <v>41</v>
      </c>
      <c r="Z50" s="16">
        <v>5.0</v>
      </c>
      <c r="AA50" s="16">
        <v>24.0</v>
      </c>
      <c r="AB50" s="16">
        <v>1.0</v>
      </c>
      <c r="AC50" s="16">
        <v>1.0</v>
      </c>
      <c r="AD50" s="16">
        <v>0.0</v>
      </c>
      <c r="AE50" s="16">
        <v>23.0</v>
      </c>
      <c r="AF50" s="16">
        <v>8.0</v>
      </c>
      <c r="AG50" s="16">
        <v>0.0</v>
      </c>
      <c r="AH50" s="16">
        <v>10.0</v>
      </c>
      <c r="AI50" s="16">
        <v>12.0</v>
      </c>
      <c r="AJ50" s="16">
        <v>4.0</v>
      </c>
      <c r="AK50" s="16">
        <v>12.0</v>
      </c>
      <c r="AL50" s="16">
        <v>10.0</v>
      </c>
      <c r="AM50" s="16">
        <v>13.0</v>
      </c>
      <c r="AN50" s="16">
        <v>3.0</v>
      </c>
      <c r="AO50" s="16">
        <v>14.0</v>
      </c>
      <c r="AP50" s="16">
        <v>20.0</v>
      </c>
      <c r="AQ50" s="16">
        <v>25.0</v>
      </c>
      <c r="AR50" s="16">
        <v>33.0</v>
      </c>
      <c r="AS50" s="23">
        <v>29.0</v>
      </c>
      <c r="AT50" s="16">
        <v>48.0</v>
      </c>
      <c r="AU50" s="61">
        <v>48.0</v>
      </c>
    </row>
    <row r="51">
      <c r="B51" s="60">
        <v>11.0</v>
      </c>
      <c r="C51" s="23" t="s">
        <v>483</v>
      </c>
      <c r="D51" s="23">
        <v>0.0</v>
      </c>
      <c r="E51" s="23">
        <v>0.0</v>
      </c>
      <c r="F51" s="16">
        <v>12.0</v>
      </c>
      <c r="G51" s="16">
        <f t="shared" ref="G51:W51" si="25">F51</f>
        <v>12</v>
      </c>
      <c r="H51" s="16">
        <f t="shared" si="25"/>
        <v>12</v>
      </c>
      <c r="I51" s="16">
        <f t="shared" si="25"/>
        <v>12</v>
      </c>
      <c r="J51" s="16">
        <f t="shared" si="25"/>
        <v>12</v>
      </c>
      <c r="K51" s="16">
        <f t="shared" si="25"/>
        <v>12</v>
      </c>
      <c r="L51" s="16">
        <f t="shared" si="25"/>
        <v>12</v>
      </c>
      <c r="M51" s="16">
        <f t="shared" si="25"/>
        <v>12</v>
      </c>
      <c r="N51" s="16">
        <f t="shared" si="25"/>
        <v>12</v>
      </c>
      <c r="O51" s="16">
        <f t="shared" si="25"/>
        <v>12</v>
      </c>
      <c r="P51" s="16">
        <f t="shared" si="25"/>
        <v>12</v>
      </c>
      <c r="Q51" s="16">
        <f t="shared" si="25"/>
        <v>12</v>
      </c>
      <c r="R51" s="16">
        <f t="shared" si="25"/>
        <v>12</v>
      </c>
      <c r="S51" s="16">
        <f t="shared" si="25"/>
        <v>12</v>
      </c>
      <c r="T51" s="16">
        <f t="shared" si="25"/>
        <v>12</v>
      </c>
      <c r="U51" s="16">
        <f t="shared" si="25"/>
        <v>12</v>
      </c>
      <c r="V51" s="16">
        <f t="shared" si="25"/>
        <v>12</v>
      </c>
      <c r="W51" s="16">
        <f t="shared" si="25"/>
        <v>12</v>
      </c>
      <c r="X51" s="62">
        <f t="shared" ref="X51:Y51" si="26">X50</f>
        <v>45</v>
      </c>
      <c r="Y51" s="63">
        <f t="shared" si="26"/>
        <v>41</v>
      </c>
      <c r="Z51" s="16">
        <v>15.0</v>
      </c>
      <c r="AA51" s="16">
        <v>15.0</v>
      </c>
      <c r="AB51" s="16">
        <v>15.0</v>
      </c>
      <c r="AC51" s="16">
        <v>15.0</v>
      </c>
      <c r="AD51" s="16">
        <v>15.0</v>
      </c>
      <c r="AE51" s="16">
        <v>15.0</v>
      </c>
      <c r="AF51" s="16">
        <v>15.0</v>
      </c>
      <c r="AG51" s="16">
        <v>15.0</v>
      </c>
      <c r="AH51" s="16">
        <v>15.0</v>
      </c>
      <c r="AI51" s="16">
        <v>15.0</v>
      </c>
      <c r="AJ51" s="16">
        <v>15.0</v>
      </c>
      <c r="AK51" s="16">
        <v>15.0</v>
      </c>
      <c r="AL51" s="16">
        <v>15.0</v>
      </c>
      <c r="AM51" s="16">
        <v>15.0</v>
      </c>
      <c r="AN51" s="16">
        <v>15.0</v>
      </c>
      <c r="AO51" s="16">
        <v>15.0</v>
      </c>
      <c r="AP51" s="16">
        <v>15.0</v>
      </c>
      <c r="AQ51" s="16">
        <v>15.0</v>
      </c>
      <c r="AR51" s="16">
        <v>33.0</v>
      </c>
      <c r="AS51" s="23">
        <v>29.0</v>
      </c>
      <c r="AT51" s="16">
        <v>48.0</v>
      </c>
      <c r="AU51" s="61">
        <v>48.0</v>
      </c>
    </row>
    <row r="52">
      <c r="B52" s="60">
        <v>12.0</v>
      </c>
      <c r="C52" s="23" t="s">
        <v>484</v>
      </c>
      <c r="D52" s="23">
        <v>0.0</v>
      </c>
      <c r="E52" s="23">
        <v>0.0</v>
      </c>
      <c r="F52" s="16">
        <v>13.0</v>
      </c>
      <c r="G52" s="16">
        <f t="shared" ref="G52:W52" si="27">F52</f>
        <v>13</v>
      </c>
      <c r="H52" s="16">
        <f t="shared" si="27"/>
        <v>13</v>
      </c>
      <c r="I52" s="16">
        <f t="shared" si="27"/>
        <v>13</v>
      </c>
      <c r="J52" s="16">
        <f t="shared" si="27"/>
        <v>13</v>
      </c>
      <c r="K52" s="16">
        <f t="shared" si="27"/>
        <v>13</v>
      </c>
      <c r="L52" s="16">
        <f t="shared" si="27"/>
        <v>13</v>
      </c>
      <c r="M52" s="16">
        <f t="shared" si="27"/>
        <v>13</v>
      </c>
      <c r="N52" s="16">
        <f t="shared" si="27"/>
        <v>13</v>
      </c>
      <c r="O52" s="16">
        <f t="shared" si="27"/>
        <v>13</v>
      </c>
      <c r="P52" s="16">
        <f t="shared" si="27"/>
        <v>13</v>
      </c>
      <c r="Q52" s="16">
        <f t="shared" si="27"/>
        <v>13</v>
      </c>
      <c r="R52" s="16">
        <f t="shared" si="27"/>
        <v>13</v>
      </c>
      <c r="S52" s="16">
        <f t="shared" si="27"/>
        <v>13</v>
      </c>
      <c r="T52" s="16">
        <f t="shared" si="27"/>
        <v>13</v>
      </c>
      <c r="U52" s="16">
        <f t="shared" si="27"/>
        <v>13</v>
      </c>
      <c r="V52" s="16">
        <f t="shared" si="27"/>
        <v>13</v>
      </c>
      <c r="W52" s="16">
        <f t="shared" si="27"/>
        <v>13</v>
      </c>
      <c r="X52" s="62">
        <f t="shared" ref="X52:Y52" si="28">X51</f>
        <v>45</v>
      </c>
      <c r="Y52" s="63">
        <f t="shared" si="28"/>
        <v>41</v>
      </c>
      <c r="Z52" s="16">
        <v>16.0</v>
      </c>
      <c r="AA52" s="16">
        <v>16.0</v>
      </c>
      <c r="AB52" s="16">
        <v>16.0</v>
      </c>
      <c r="AC52" s="16">
        <v>16.0</v>
      </c>
      <c r="AD52" s="16">
        <v>16.0</v>
      </c>
      <c r="AE52" s="16">
        <v>16.0</v>
      </c>
      <c r="AF52" s="16">
        <v>16.0</v>
      </c>
      <c r="AG52" s="16">
        <v>16.0</v>
      </c>
      <c r="AH52" s="16">
        <v>16.0</v>
      </c>
      <c r="AI52" s="16">
        <v>16.0</v>
      </c>
      <c r="AJ52" s="16">
        <v>16.0</v>
      </c>
      <c r="AK52" s="16">
        <v>16.0</v>
      </c>
      <c r="AL52" s="16">
        <v>16.0</v>
      </c>
      <c r="AM52" s="16">
        <v>16.0</v>
      </c>
      <c r="AN52" s="16">
        <v>16.0</v>
      </c>
      <c r="AO52" s="16">
        <v>16.0</v>
      </c>
      <c r="AP52" s="16">
        <v>16.0</v>
      </c>
      <c r="AQ52" s="16">
        <v>16.0</v>
      </c>
      <c r="AR52" s="16">
        <v>33.0</v>
      </c>
      <c r="AS52" s="23">
        <v>29.0</v>
      </c>
      <c r="AT52" s="16">
        <v>48.0</v>
      </c>
      <c r="AU52" s="61">
        <v>48.0</v>
      </c>
    </row>
    <row r="53">
      <c r="B53" s="60">
        <v>13.0</v>
      </c>
      <c r="C53" s="23" t="s">
        <v>485</v>
      </c>
      <c r="D53" s="23">
        <v>0.0</v>
      </c>
      <c r="E53" s="23">
        <v>0.0</v>
      </c>
      <c r="F53" s="16">
        <v>14.0</v>
      </c>
      <c r="G53" s="16">
        <f t="shared" ref="G53:W53" si="29">F53</f>
        <v>14</v>
      </c>
      <c r="H53" s="16">
        <f t="shared" si="29"/>
        <v>14</v>
      </c>
      <c r="I53" s="16">
        <f t="shared" si="29"/>
        <v>14</v>
      </c>
      <c r="J53" s="16">
        <f t="shared" si="29"/>
        <v>14</v>
      </c>
      <c r="K53" s="16">
        <f t="shared" si="29"/>
        <v>14</v>
      </c>
      <c r="L53" s="16">
        <f t="shared" si="29"/>
        <v>14</v>
      </c>
      <c r="M53" s="16">
        <f t="shared" si="29"/>
        <v>14</v>
      </c>
      <c r="N53" s="16">
        <f t="shared" si="29"/>
        <v>14</v>
      </c>
      <c r="O53" s="16">
        <f t="shared" si="29"/>
        <v>14</v>
      </c>
      <c r="P53" s="16">
        <f t="shared" si="29"/>
        <v>14</v>
      </c>
      <c r="Q53" s="16">
        <f t="shared" si="29"/>
        <v>14</v>
      </c>
      <c r="R53" s="16">
        <f t="shared" si="29"/>
        <v>14</v>
      </c>
      <c r="S53" s="16">
        <f t="shared" si="29"/>
        <v>14</v>
      </c>
      <c r="T53" s="16">
        <f t="shared" si="29"/>
        <v>14</v>
      </c>
      <c r="U53" s="16">
        <f t="shared" si="29"/>
        <v>14</v>
      </c>
      <c r="V53" s="16">
        <f t="shared" si="29"/>
        <v>14</v>
      </c>
      <c r="W53" s="16">
        <f t="shared" si="29"/>
        <v>14</v>
      </c>
      <c r="X53" s="62">
        <f t="shared" ref="X53:Y53" si="30">X52</f>
        <v>45</v>
      </c>
      <c r="Y53" s="63">
        <f t="shared" si="30"/>
        <v>41</v>
      </c>
      <c r="Z53" s="16">
        <v>17.0</v>
      </c>
      <c r="AA53" s="16">
        <v>17.0</v>
      </c>
      <c r="AB53" s="16">
        <v>17.0</v>
      </c>
      <c r="AC53" s="16">
        <v>17.0</v>
      </c>
      <c r="AD53" s="16">
        <v>17.0</v>
      </c>
      <c r="AE53" s="16">
        <v>17.0</v>
      </c>
      <c r="AF53" s="16">
        <v>17.0</v>
      </c>
      <c r="AG53" s="16">
        <v>17.0</v>
      </c>
      <c r="AH53" s="16">
        <v>17.0</v>
      </c>
      <c r="AI53" s="16">
        <v>17.0</v>
      </c>
      <c r="AJ53" s="16">
        <v>17.0</v>
      </c>
      <c r="AK53" s="16">
        <v>17.0</v>
      </c>
      <c r="AL53" s="16">
        <v>17.0</v>
      </c>
      <c r="AM53" s="16">
        <v>17.0</v>
      </c>
      <c r="AN53" s="16">
        <v>17.0</v>
      </c>
      <c r="AO53" s="16">
        <v>17.0</v>
      </c>
      <c r="AP53" s="16">
        <v>17.0</v>
      </c>
      <c r="AQ53" s="16">
        <v>17.0</v>
      </c>
      <c r="AR53" s="16">
        <v>33.0</v>
      </c>
      <c r="AS53" s="23">
        <v>29.0</v>
      </c>
      <c r="AT53" s="16">
        <v>48.0</v>
      </c>
      <c r="AU53" s="61">
        <v>48.0</v>
      </c>
    </row>
    <row r="54">
      <c r="B54" s="60">
        <v>14.0</v>
      </c>
      <c r="C54" s="23" t="s">
        <v>486</v>
      </c>
      <c r="D54" s="23">
        <v>0.0</v>
      </c>
      <c r="E54" s="23">
        <v>0.0</v>
      </c>
      <c r="F54" s="16">
        <v>15.0</v>
      </c>
      <c r="G54" s="16">
        <f t="shared" ref="G54:W54" si="31">F54</f>
        <v>15</v>
      </c>
      <c r="H54" s="16">
        <f t="shared" si="31"/>
        <v>15</v>
      </c>
      <c r="I54" s="16">
        <f t="shared" si="31"/>
        <v>15</v>
      </c>
      <c r="J54" s="16">
        <f t="shared" si="31"/>
        <v>15</v>
      </c>
      <c r="K54" s="16">
        <f t="shared" si="31"/>
        <v>15</v>
      </c>
      <c r="L54" s="16">
        <f t="shared" si="31"/>
        <v>15</v>
      </c>
      <c r="M54" s="16">
        <f t="shared" si="31"/>
        <v>15</v>
      </c>
      <c r="N54" s="16">
        <f t="shared" si="31"/>
        <v>15</v>
      </c>
      <c r="O54" s="16">
        <f t="shared" si="31"/>
        <v>15</v>
      </c>
      <c r="P54" s="16">
        <f t="shared" si="31"/>
        <v>15</v>
      </c>
      <c r="Q54" s="16">
        <f t="shared" si="31"/>
        <v>15</v>
      </c>
      <c r="R54" s="16">
        <f t="shared" si="31"/>
        <v>15</v>
      </c>
      <c r="S54" s="16">
        <f t="shared" si="31"/>
        <v>15</v>
      </c>
      <c r="T54" s="16">
        <f t="shared" si="31"/>
        <v>15</v>
      </c>
      <c r="U54" s="16">
        <f t="shared" si="31"/>
        <v>15</v>
      </c>
      <c r="V54" s="16">
        <f t="shared" si="31"/>
        <v>15</v>
      </c>
      <c r="W54" s="16">
        <f t="shared" si="31"/>
        <v>15</v>
      </c>
      <c r="X54" s="62">
        <f t="shared" ref="X54:Y54" si="32">X53</f>
        <v>45</v>
      </c>
      <c r="Y54" s="63">
        <f t="shared" si="32"/>
        <v>41</v>
      </c>
      <c r="Z54" s="16">
        <v>18.0</v>
      </c>
      <c r="AA54" s="16">
        <v>18.0</v>
      </c>
      <c r="AB54" s="16">
        <v>18.0</v>
      </c>
      <c r="AC54" s="16">
        <v>18.0</v>
      </c>
      <c r="AD54" s="16">
        <v>18.0</v>
      </c>
      <c r="AE54" s="16">
        <v>18.0</v>
      </c>
      <c r="AF54" s="16">
        <v>18.0</v>
      </c>
      <c r="AG54" s="16">
        <v>18.0</v>
      </c>
      <c r="AH54" s="16">
        <v>18.0</v>
      </c>
      <c r="AI54" s="16">
        <v>18.0</v>
      </c>
      <c r="AJ54" s="16">
        <v>18.0</v>
      </c>
      <c r="AK54" s="16">
        <v>18.0</v>
      </c>
      <c r="AL54" s="16">
        <v>18.0</v>
      </c>
      <c r="AM54" s="16">
        <v>18.0</v>
      </c>
      <c r="AN54" s="16">
        <v>18.0</v>
      </c>
      <c r="AO54" s="16">
        <v>18.0</v>
      </c>
      <c r="AP54" s="16">
        <v>18.0</v>
      </c>
      <c r="AQ54" s="16">
        <v>18.0</v>
      </c>
      <c r="AR54" s="16">
        <v>33.0</v>
      </c>
      <c r="AS54" s="23">
        <v>29.0</v>
      </c>
      <c r="AT54" s="16">
        <v>48.0</v>
      </c>
      <c r="AU54" s="61">
        <v>48.0</v>
      </c>
    </row>
    <row r="55">
      <c r="B55" s="60">
        <v>15.0</v>
      </c>
      <c r="C55" s="23" t="s">
        <v>487</v>
      </c>
      <c r="D55" s="23">
        <v>0.0</v>
      </c>
      <c r="E55" s="23">
        <v>0.0</v>
      </c>
      <c r="F55" s="16">
        <v>16.0</v>
      </c>
      <c r="G55" s="16">
        <f t="shared" ref="G55:W55" si="33">F55</f>
        <v>16</v>
      </c>
      <c r="H55" s="16">
        <f t="shared" si="33"/>
        <v>16</v>
      </c>
      <c r="I55" s="16">
        <f t="shared" si="33"/>
        <v>16</v>
      </c>
      <c r="J55" s="16">
        <f t="shared" si="33"/>
        <v>16</v>
      </c>
      <c r="K55" s="16">
        <f t="shared" si="33"/>
        <v>16</v>
      </c>
      <c r="L55" s="16">
        <f t="shared" si="33"/>
        <v>16</v>
      </c>
      <c r="M55" s="16">
        <f t="shared" si="33"/>
        <v>16</v>
      </c>
      <c r="N55" s="16">
        <f t="shared" si="33"/>
        <v>16</v>
      </c>
      <c r="O55" s="16">
        <f t="shared" si="33"/>
        <v>16</v>
      </c>
      <c r="P55" s="16">
        <f t="shared" si="33"/>
        <v>16</v>
      </c>
      <c r="Q55" s="16">
        <f t="shared" si="33"/>
        <v>16</v>
      </c>
      <c r="R55" s="16">
        <f t="shared" si="33"/>
        <v>16</v>
      </c>
      <c r="S55" s="16">
        <f t="shared" si="33"/>
        <v>16</v>
      </c>
      <c r="T55" s="16">
        <f t="shared" si="33"/>
        <v>16</v>
      </c>
      <c r="U55" s="16">
        <f t="shared" si="33"/>
        <v>16</v>
      </c>
      <c r="V55" s="16">
        <f t="shared" si="33"/>
        <v>16</v>
      </c>
      <c r="W55" s="16">
        <f t="shared" si="33"/>
        <v>16</v>
      </c>
      <c r="X55" s="62">
        <f t="shared" ref="X55:Y55" si="34">X54</f>
        <v>45</v>
      </c>
      <c r="Y55" s="63">
        <f t="shared" si="34"/>
        <v>41</v>
      </c>
      <c r="Z55" s="16">
        <v>19.0</v>
      </c>
      <c r="AA55" s="16">
        <v>19.0</v>
      </c>
      <c r="AB55" s="16">
        <v>19.0</v>
      </c>
      <c r="AC55" s="16">
        <v>19.0</v>
      </c>
      <c r="AD55" s="16">
        <v>19.0</v>
      </c>
      <c r="AE55" s="16">
        <v>19.0</v>
      </c>
      <c r="AF55" s="16">
        <v>19.0</v>
      </c>
      <c r="AG55" s="16">
        <v>19.0</v>
      </c>
      <c r="AH55" s="16">
        <v>19.0</v>
      </c>
      <c r="AI55" s="16">
        <v>19.0</v>
      </c>
      <c r="AJ55" s="16">
        <v>19.0</v>
      </c>
      <c r="AK55" s="16">
        <v>19.0</v>
      </c>
      <c r="AL55" s="16">
        <v>19.0</v>
      </c>
      <c r="AM55" s="16">
        <v>19.0</v>
      </c>
      <c r="AN55" s="16">
        <v>19.0</v>
      </c>
      <c r="AO55" s="16">
        <v>19.0</v>
      </c>
      <c r="AP55" s="16">
        <v>19.0</v>
      </c>
      <c r="AQ55" s="16">
        <v>19.0</v>
      </c>
      <c r="AR55" s="16">
        <v>33.0</v>
      </c>
      <c r="AS55" s="23">
        <v>29.0</v>
      </c>
      <c r="AT55" s="16">
        <v>48.0</v>
      </c>
      <c r="AU55" s="61">
        <v>48.0</v>
      </c>
    </row>
    <row r="56">
      <c r="B56" s="60">
        <v>16.0</v>
      </c>
      <c r="C56" s="23" t="s">
        <v>488</v>
      </c>
      <c r="D56" s="23">
        <v>0.0</v>
      </c>
      <c r="E56" s="23">
        <v>0.0</v>
      </c>
      <c r="F56" s="16">
        <v>18.0</v>
      </c>
      <c r="G56" s="16">
        <f t="shared" ref="G56:W56" si="35">F56</f>
        <v>18</v>
      </c>
      <c r="H56" s="16">
        <f t="shared" si="35"/>
        <v>18</v>
      </c>
      <c r="I56" s="16">
        <f t="shared" si="35"/>
        <v>18</v>
      </c>
      <c r="J56" s="16">
        <f t="shared" si="35"/>
        <v>18</v>
      </c>
      <c r="K56" s="16">
        <f t="shared" si="35"/>
        <v>18</v>
      </c>
      <c r="L56" s="16">
        <f t="shared" si="35"/>
        <v>18</v>
      </c>
      <c r="M56" s="16">
        <f t="shared" si="35"/>
        <v>18</v>
      </c>
      <c r="N56" s="16">
        <f t="shared" si="35"/>
        <v>18</v>
      </c>
      <c r="O56" s="16">
        <f t="shared" si="35"/>
        <v>18</v>
      </c>
      <c r="P56" s="16">
        <f t="shared" si="35"/>
        <v>18</v>
      </c>
      <c r="Q56" s="16">
        <f t="shared" si="35"/>
        <v>18</v>
      </c>
      <c r="R56" s="16">
        <f t="shared" si="35"/>
        <v>18</v>
      </c>
      <c r="S56" s="16">
        <f t="shared" si="35"/>
        <v>18</v>
      </c>
      <c r="T56" s="16">
        <f t="shared" si="35"/>
        <v>18</v>
      </c>
      <c r="U56" s="16">
        <f t="shared" si="35"/>
        <v>18</v>
      </c>
      <c r="V56" s="16">
        <f t="shared" si="35"/>
        <v>18</v>
      </c>
      <c r="W56" s="16">
        <f t="shared" si="35"/>
        <v>18</v>
      </c>
      <c r="X56" s="62">
        <f t="shared" ref="X56:Y56" si="36">X55</f>
        <v>45</v>
      </c>
      <c r="Y56" s="63">
        <f t="shared" si="36"/>
        <v>41</v>
      </c>
      <c r="Z56" s="16">
        <v>21.0</v>
      </c>
      <c r="AA56" s="16">
        <v>21.0</v>
      </c>
      <c r="AB56" s="16">
        <v>21.0</v>
      </c>
      <c r="AC56" s="16">
        <v>21.0</v>
      </c>
      <c r="AD56" s="16">
        <v>21.0</v>
      </c>
      <c r="AE56" s="16">
        <v>21.0</v>
      </c>
      <c r="AF56" s="16">
        <v>21.0</v>
      </c>
      <c r="AG56" s="16">
        <v>21.0</v>
      </c>
      <c r="AH56" s="16">
        <v>21.0</v>
      </c>
      <c r="AI56" s="16">
        <v>21.0</v>
      </c>
      <c r="AJ56" s="16">
        <v>21.0</v>
      </c>
      <c r="AK56" s="16">
        <v>21.0</v>
      </c>
      <c r="AL56" s="16">
        <v>21.0</v>
      </c>
      <c r="AM56" s="16">
        <v>21.0</v>
      </c>
      <c r="AN56" s="16">
        <v>21.0</v>
      </c>
      <c r="AO56" s="16">
        <v>21.0</v>
      </c>
      <c r="AP56" s="16">
        <v>21.0</v>
      </c>
      <c r="AQ56" s="16">
        <v>21.0</v>
      </c>
      <c r="AR56" s="16">
        <v>33.0</v>
      </c>
      <c r="AS56" s="23">
        <v>29.0</v>
      </c>
      <c r="AT56" s="16">
        <v>48.0</v>
      </c>
      <c r="AU56" s="61">
        <v>48.0</v>
      </c>
    </row>
    <row r="57">
      <c r="B57" s="60">
        <v>17.0</v>
      </c>
      <c r="C57" s="23" t="s">
        <v>489</v>
      </c>
      <c r="D57" s="23">
        <v>0.0</v>
      </c>
      <c r="E57" s="23">
        <v>0.0</v>
      </c>
      <c r="F57" s="16">
        <v>16.0</v>
      </c>
      <c r="G57" s="62">
        <f t="shared" ref="G57:W57" si="37">F57</f>
        <v>16</v>
      </c>
      <c r="H57" s="62">
        <f t="shared" si="37"/>
        <v>16</v>
      </c>
      <c r="I57" s="62">
        <f t="shared" si="37"/>
        <v>16</v>
      </c>
      <c r="J57" s="62">
        <f t="shared" si="37"/>
        <v>16</v>
      </c>
      <c r="K57" s="62">
        <f t="shared" si="37"/>
        <v>16</v>
      </c>
      <c r="L57" s="62">
        <f t="shared" si="37"/>
        <v>16</v>
      </c>
      <c r="M57" s="62">
        <f t="shared" si="37"/>
        <v>16</v>
      </c>
      <c r="N57" s="62">
        <f t="shared" si="37"/>
        <v>16</v>
      </c>
      <c r="O57" s="62">
        <f t="shared" si="37"/>
        <v>16</v>
      </c>
      <c r="P57" s="62">
        <f t="shared" si="37"/>
        <v>16</v>
      </c>
      <c r="Q57" s="62">
        <f t="shared" si="37"/>
        <v>16</v>
      </c>
      <c r="R57" s="62">
        <f t="shared" si="37"/>
        <v>16</v>
      </c>
      <c r="S57" s="62">
        <f t="shared" si="37"/>
        <v>16</v>
      </c>
      <c r="T57" s="62">
        <f t="shared" si="37"/>
        <v>16</v>
      </c>
      <c r="U57" s="62">
        <f t="shared" si="37"/>
        <v>16</v>
      </c>
      <c r="V57" s="62">
        <f t="shared" si="37"/>
        <v>16</v>
      </c>
      <c r="W57" s="62">
        <f t="shared" si="37"/>
        <v>16</v>
      </c>
      <c r="X57" s="62">
        <f t="shared" ref="X57:Y57" si="38">X56</f>
        <v>45</v>
      </c>
      <c r="Y57" s="63">
        <f t="shared" si="38"/>
        <v>41</v>
      </c>
      <c r="Z57" s="16">
        <v>21.0</v>
      </c>
      <c r="AA57" s="16">
        <v>21.0</v>
      </c>
      <c r="AB57" s="16">
        <v>21.0</v>
      </c>
      <c r="AC57" s="16">
        <v>21.0</v>
      </c>
      <c r="AD57" s="16">
        <v>21.0</v>
      </c>
      <c r="AE57" s="16">
        <v>21.0</v>
      </c>
      <c r="AF57" s="16">
        <v>21.0</v>
      </c>
      <c r="AG57" s="16">
        <v>21.0</v>
      </c>
      <c r="AH57" s="16">
        <v>21.0</v>
      </c>
      <c r="AI57" s="16">
        <v>21.0</v>
      </c>
      <c r="AJ57" s="16">
        <v>21.0</v>
      </c>
      <c r="AK57" s="16">
        <v>21.0</v>
      </c>
      <c r="AL57" s="16">
        <v>21.0</v>
      </c>
      <c r="AM57" s="16">
        <v>21.0</v>
      </c>
      <c r="AN57" s="16">
        <v>21.0</v>
      </c>
      <c r="AO57" s="16">
        <v>21.0</v>
      </c>
      <c r="AP57" s="16">
        <v>21.0</v>
      </c>
      <c r="AQ57" s="16">
        <v>21.0</v>
      </c>
      <c r="AR57" s="16">
        <v>33.0</v>
      </c>
      <c r="AS57" s="23">
        <v>29.0</v>
      </c>
      <c r="AT57" s="16">
        <v>48.0</v>
      </c>
      <c r="AU57" s="61">
        <v>48.0</v>
      </c>
    </row>
    <row r="58">
      <c r="B58" s="60">
        <v>18.0</v>
      </c>
      <c r="C58" s="23" t="s">
        <v>490</v>
      </c>
      <c r="D58" s="23">
        <v>0.0</v>
      </c>
      <c r="E58" s="23">
        <v>0.0</v>
      </c>
      <c r="F58" s="16">
        <v>19.0</v>
      </c>
      <c r="G58" s="16">
        <f t="shared" ref="G58:W58" si="39">F58</f>
        <v>19</v>
      </c>
      <c r="H58" s="16">
        <f t="shared" si="39"/>
        <v>19</v>
      </c>
      <c r="I58" s="16">
        <f t="shared" si="39"/>
        <v>19</v>
      </c>
      <c r="J58" s="16">
        <f t="shared" si="39"/>
        <v>19</v>
      </c>
      <c r="K58" s="16">
        <f t="shared" si="39"/>
        <v>19</v>
      </c>
      <c r="L58" s="16">
        <f t="shared" si="39"/>
        <v>19</v>
      </c>
      <c r="M58" s="16">
        <f t="shared" si="39"/>
        <v>19</v>
      </c>
      <c r="N58" s="16">
        <f t="shared" si="39"/>
        <v>19</v>
      </c>
      <c r="O58" s="16">
        <f t="shared" si="39"/>
        <v>19</v>
      </c>
      <c r="P58" s="16">
        <f t="shared" si="39"/>
        <v>19</v>
      </c>
      <c r="Q58" s="16">
        <f t="shared" si="39"/>
        <v>19</v>
      </c>
      <c r="R58" s="16">
        <f t="shared" si="39"/>
        <v>19</v>
      </c>
      <c r="S58" s="16">
        <f t="shared" si="39"/>
        <v>19</v>
      </c>
      <c r="T58" s="16">
        <f t="shared" si="39"/>
        <v>19</v>
      </c>
      <c r="U58" s="16">
        <f t="shared" si="39"/>
        <v>19</v>
      </c>
      <c r="V58" s="16">
        <f t="shared" si="39"/>
        <v>19</v>
      </c>
      <c r="W58" s="16">
        <f t="shared" si="39"/>
        <v>19</v>
      </c>
      <c r="X58" s="62">
        <f t="shared" ref="X58:Y58" si="40">X57</f>
        <v>45</v>
      </c>
      <c r="Y58" s="63">
        <f t="shared" si="40"/>
        <v>41</v>
      </c>
      <c r="Z58" s="16">
        <v>3.0</v>
      </c>
      <c r="AA58" s="16">
        <v>3.0</v>
      </c>
      <c r="AB58" s="16">
        <v>3.0</v>
      </c>
      <c r="AC58" s="16">
        <v>3.0</v>
      </c>
      <c r="AD58" s="16">
        <v>3.0</v>
      </c>
      <c r="AE58" s="16">
        <v>3.0</v>
      </c>
      <c r="AF58" s="16">
        <v>3.0</v>
      </c>
      <c r="AG58" s="16">
        <v>3.0</v>
      </c>
      <c r="AH58" s="16">
        <v>3.0</v>
      </c>
      <c r="AI58" s="16">
        <v>3.0</v>
      </c>
      <c r="AJ58" s="16">
        <v>3.0</v>
      </c>
      <c r="AK58" s="16">
        <v>3.0</v>
      </c>
      <c r="AL58" s="16">
        <v>3.0</v>
      </c>
      <c r="AM58" s="16">
        <v>3.0</v>
      </c>
      <c r="AN58" s="16">
        <v>3.0</v>
      </c>
      <c r="AO58" s="16">
        <v>3.0</v>
      </c>
      <c r="AP58" s="16">
        <v>3.0</v>
      </c>
      <c r="AQ58" s="16">
        <v>3.0</v>
      </c>
      <c r="AR58" s="16">
        <v>33.0</v>
      </c>
      <c r="AS58" s="23">
        <v>29.0</v>
      </c>
      <c r="AT58" s="16">
        <v>48.0</v>
      </c>
      <c r="AU58" s="61">
        <v>48.0</v>
      </c>
    </row>
    <row r="59">
      <c r="B59" s="60">
        <v>19.0</v>
      </c>
      <c r="C59" s="23" t="s">
        <v>491</v>
      </c>
      <c r="D59" s="23">
        <v>0.0</v>
      </c>
      <c r="E59" s="23">
        <v>0.0</v>
      </c>
      <c r="F59" s="16">
        <v>46.0</v>
      </c>
      <c r="G59" s="16">
        <f t="shared" ref="G59:W59" si="41">F59</f>
        <v>46</v>
      </c>
      <c r="H59" s="16">
        <f t="shared" si="41"/>
        <v>46</v>
      </c>
      <c r="I59" s="16">
        <f t="shared" si="41"/>
        <v>46</v>
      </c>
      <c r="J59" s="16">
        <f t="shared" si="41"/>
        <v>46</v>
      </c>
      <c r="K59" s="16">
        <f t="shared" si="41"/>
        <v>46</v>
      </c>
      <c r="L59" s="16">
        <f t="shared" si="41"/>
        <v>46</v>
      </c>
      <c r="M59" s="16">
        <f t="shared" si="41"/>
        <v>46</v>
      </c>
      <c r="N59" s="16">
        <f t="shared" si="41"/>
        <v>46</v>
      </c>
      <c r="O59" s="16">
        <f t="shared" si="41"/>
        <v>46</v>
      </c>
      <c r="P59" s="16">
        <f t="shared" si="41"/>
        <v>46</v>
      </c>
      <c r="Q59" s="16">
        <f t="shared" si="41"/>
        <v>46</v>
      </c>
      <c r="R59" s="16">
        <f t="shared" si="41"/>
        <v>46</v>
      </c>
      <c r="S59" s="16">
        <f t="shared" si="41"/>
        <v>46</v>
      </c>
      <c r="T59" s="16">
        <f t="shared" si="41"/>
        <v>46</v>
      </c>
      <c r="U59" s="16">
        <f t="shared" si="41"/>
        <v>46</v>
      </c>
      <c r="V59" s="16">
        <f t="shared" si="41"/>
        <v>46</v>
      </c>
      <c r="W59" s="16">
        <f t="shared" si="41"/>
        <v>46</v>
      </c>
      <c r="X59" s="62">
        <f t="shared" ref="X59:Y59" si="42">X58</f>
        <v>45</v>
      </c>
      <c r="Y59" s="63">
        <f t="shared" si="42"/>
        <v>41</v>
      </c>
      <c r="Z59" s="16">
        <v>34.0</v>
      </c>
      <c r="AA59" s="16">
        <v>34.0</v>
      </c>
      <c r="AB59" s="16">
        <v>34.0</v>
      </c>
      <c r="AC59" s="16">
        <v>34.0</v>
      </c>
      <c r="AD59" s="16">
        <v>34.0</v>
      </c>
      <c r="AE59" s="16">
        <v>34.0</v>
      </c>
      <c r="AF59" s="16">
        <v>34.0</v>
      </c>
      <c r="AG59" s="16">
        <v>34.0</v>
      </c>
      <c r="AH59" s="16">
        <v>34.0</v>
      </c>
      <c r="AI59" s="16">
        <v>34.0</v>
      </c>
      <c r="AJ59" s="16">
        <v>34.0</v>
      </c>
      <c r="AK59" s="16">
        <v>34.0</v>
      </c>
      <c r="AL59" s="16">
        <v>34.0</v>
      </c>
      <c r="AM59" s="16">
        <v>34.0</v>
      </c>
      <c r="AN59" s="16">
        <v>34.0</v>
      </c>
      <c r="AO59" s="16">
        <v>34.0</v>
      </c>
      <c r="AP59" s="16">
        <v>34.0</v>
      </c>
      <c r="AQ59" s="16">
        <v>34.0</v>
      </c>
      <c r="AR59" s="16">
        <v>33.0</v>
      </c>
      <c r="AS59" s="23">
        <v>29.0</v>
      </c>
      <c r="AT59" s="16">
        <v>48.0</v>
      </c>
      <c r="AU59" s="61">
        <v>48.0</v>
      </c>
    </row>
    <row r="60">
      <c r="B60" s="60">
        <v>20.0</v>
      </c>
      <c r="C60" s="23" t="s">
        <v>492</v>
      </c>
      <c r="D60" s="23">
        <v>0.0</v>
      </c>
      <c r="E60" s="23">
        <v>0.0</v>
      </c>
      <c r="F60" s="16">
        <v>37.0</v>
      </c>
      <c r="G60" s="16">
        <f>F60</f>
        <v>37</v>
      </c>
      <c r="H60" s="62">
        <f t="shared" ref="H60:N60" si="43">F60</f>
        <v>37</v>
      </c>
      <c r="I60" s="62">
        <f t="shared" si="43"/>
        <v>37</v>
      </c>
      <c r="J60" s="62">
        <f t="shared" si="43"/>
        <v>37</v>
      </c>
      <c r="K60" s="62">
        <f t="shared" si="43"/>
        <v>37</v>
      </c>
      <c r="L60" s="62">
        <f t="shared" si="43"/>
        <v>37</v>
      </c>
      <c r="M60" s="62">
        <f t="shared" si="43"/>
        <v>37</v>
      </c>
      <c r="N60" s="62">
        <f t="shared" si="43"/>
        <v>37</v>
      </c>
      <c r="O60" s="16">
        <v>36.0</v>
      </c>
      <c r="P60" s="62">
        <f t="shared" ref="P60:W60" si="44">N60</f>
        <v>37</v>
      </c>
      <c r="Q60" s="62">
        <f t="shared" si="44"/>
        <v>36</v>
      </c>
      <c r="R60" s="62">
        <f t="shared" si="44"/>
        <v>37</v>
      </c>
      <c r="S60" s="62">
        <f t="shared" si="44"/>
        <v>36</v>
      </c>
      <c r="T60" s="62">
        <f t="shared" si="44"/>
        <v>37</v>
      </c>
      <c r="U60" s="62">
        <f t="shared" si="44"/>
        <v>36</v>
      </c>
      <c r="V60" s="62">
        <f t="shared" si="44"/>
        <v>37</v>
      </c>
      <c r="W60" s="62">
        <f t="shared" si="44"/>
        <v>36</v>
      </c>
      <c r="X60" s="62">
        <f t="shared" ref="X60:Y60" si="45">X59</f>
        <v>45</v>
      </c>
      <c r="Y60" s="63">
        <f t="shared" si="45"/>
        <v>41</v>
      </c>
      <c r="Z60" s="16">
        <v>28.0</v>
      </c>
      <c r="AA60" s="16">
        <v>28.0</v>
      </c>
      <c r="AB60" s="16">
        <v>28.0</v>
      </c>
      <c r="AC60" s="16">
        <v>28.0</v>
      </c>
      <c r="AD60" s="16">
        <v>28.0</v>
      </c>
      <c r="AE60" s="16">
        <v>28.0</v>
      </c>
      <c r="AF60" s="16">
        <v>28.0</v>
      </c>
      <c r="AG60" s="16">
        <v>28.0</v>
      </c>
      <c r="AH60" s="16">
        <v>28.0</v>
      </c>
      <c r="AI60" s="16">
        <v>28.0</v>
      </c>
      <c r="AJ60" s="16">
        <v>28.0</v>
      </c>
      <c r="AK60" s="16">
        <v>28.0</v>
      </c>
      <c r="AL60" s="16">
        <v>28.0</v>
      </c>
      <c r="AM60" s="16">
        <v>28.0</v>
      </c>
      <c r="AN60" s="16">
        <v>28.0</v>
      </c>
      <c r="AO60" s="16">
        <v>28.0</v>
      </c>
      <c r="AP60" s="16">
        <v>28.0</v>
      </c>
      <c r="AQ60" s="16">
        <v>28.0</v>
      </c>
      <c r="AR60" s="16">
        <v>33.0</v>
      </c>
      <c r="AS60" s="23">
        <v>29.0</v>
      </c>
      <c r="AT60" s="16">
        <v>48.0</v>
      </c>
      <c r="AU60" s="61">
        <v>48.0</v>
      </c>
    </row>
    <row r="61">
      <c r="B61" s="64">
        <v>21.0</v>
      </c>
      <c r="C61" s="65" t="s">
        <v>493</v>
      </c>
      <c r="D61" s="65"/>
      <c r="E61" s="65"/>
      <c r="F61" s="66"/>
      <c r="G61" s="66"/>
      <c r="H61" s="66"/>
      <c r="I61" s="66"/>
      <c r="J61" s="66"/>
      <c r="K61" s="66"/>
      <c r="L61" s="66"/>
      <c r="M61" s="66"/>
      <c r="N61" s="66"/>
      <c r="O61" s="66"/>
      <c r="P61" s="66"/>
      <c r="Q61" s="66"/>
      <c r="R61" s="66"/>
      <c r="S61" s="66"/>
      <c r="T61" s="66"/>
      <c r="U61" s="66"/>
      <c r="V61" s="66"/>
      <c r="W61" s="66"/>
      <c r="X61" s="66"/>
      <c r="Y61" s="65"/>
      <c r="Z61" s="66"/>
      <c r="AA61" s="66"/>
      <c r="AB61" s="66"/>
      <c r="AC61" s="66"/>
      <c r="AD61" s="66"/>
      <c r="AE61" s="66"/>
      <c r="AF61" s="66"/>
      <c r="AG61" s="66"/>
      <c r="AH61" s="66"/>
      <c r="AI61" s="66"/>
      <c r="AJ61" s="66"/>
      <c r="AK61" s="66"/>
      <c r="AL61" s="66"/>
      <c r="AM61" s="66"/>
      <c r="AN61" s="66"/>
      <c r="AO61" s="66"/>
      <c r="AP61" s="66"/>
      <c r="AQ61" s="66"/>
      <c r="AR61" s="66"/>
      <c r="AS61" s="65"/>
      <c r="AT61" s="66">
        <v>48.0</v>
      </c>
      <c r="AU61" s="67">
        <v>48.0</v>
      </c>
    </row>
    <row r="62">
      <c r="B62" s="60">
        <v>22.0</v>
      </c>
      <c r="C62" s="23" t="s">
        <v>494</v>
      </c>
      <c r="D62" s="23"/>
      <c r="E62" s="23"/>
      <c r="Y62" s="23"/>
      <c r="AS62" s="23"/>
      <c r="AT62" s="16">
        <v>48.0</v>
      </c>
      <c r="AU62" s="61">
        <v>48.0</v>
      </c>
    </row>
    <row r="63">
      <c r="B63" s="60">
        <v>23.0</v>
      </c>
      <c r="C63" s="23" t="s">
        <v>495</v>
      </c>
      <c r="D63" s="23"/>
      <c r="E63" s="23"/>
      <c r="Y63" s="23"/>
      <c r="AS63" s="23"/>
      <c r="AT63" s="16">
        <v>48.0</v>
      </c>
      <c r="AU63" s="61">
        <v>48.0</v>
      </c>
    </row>
    <row r="64">
      <c r="B64" s="60">
        <v>24.0</v>
      </c>
      <c r="C64" s="23" t="s">
        <v>496</v>
      </c>
      <c r="D64" s="23"/>
      <c r="E64" s="23"/>
      <c r="Y64" s="23"/>
      <c r="AS64" s="23"/>
      <c r="AT64" s="16">
        <v>48.0</v>
      </c>
      <c r="AU64" s="61">
        <v>48.0</v>
      </c>
    </row>
    <row r="65">
      <c r="B65" s="60">
        <v>25.0</v>
      </c>
      <c r="C65" s="16" t="s">
        <v>497</v>
      </c>
      <c r="D65" s="23"/>
      <c r="E65" s="23"/>
      <c r="Y65" s="23"/>
      <c r="AS65" s="23"/>
      <c r="AT65" s="16">
        <v>48.0</v>
      </c>
      <c r="AU65" s="61">
        <v>48.0</v>
      </c>
    </row>
    <row r="66">
      <c r="B66" s="60">
        <v>26.0</v>
      </c>
      <c r="C66" s="23" t="s">
        <v>217</v>
      </c>
      <c r="D66" s="23"/>
      <c r="E66" s="23"/>
      <c r="Y66" s="23"/>
      <c r="AS66" s="23"/>
      <c r="AT66" s="16">
        <v>48.0</v>
      </c>
      <c r="AU66" s="61">
        <v>48.0</v>
      </c>
    </row>
    <row r="67">
      <c r="B67" s="60">
        <v>27.0</v>
      </c>
      <c r="C67" s="23" t="s">
        <v>498</v>
      </c>
      <c r="D67" s="23"/>
      <c r="E67" s="23"/>
      <c r="Y67" s="23"/>
      <c r="AS67" s="23"/>
      <c r="AT67" s="16">
        <v>48.0</v>
      </c>
      <c r="AU67" s="61">
        <v>48.0</v>
      </c>
    </row>
    <row r="68">
      <c r="B68" s="60">
        <v>28.0</v>
      </c>
      <c r="C68" s="23" t="s">
        <v>499</v>
      </c>
      <c r="D68" s="23"/>
      <c r="E68" s="23"/>
      <c r="Y68" s="23"/>
      <c r="AS68" s="23"/>
      <c r="AT68" s="16">
        <v>48.0</v>
      </c>
      <c r="AU68" s="61">
        <v>48.0</v>
      </c>
    </row>
    <row r="69">
      <c r="B69" s="60">
        <v>29.0</v>
      </c>
      <c r="C69" s="16" t="s">
        <v>500</v>
      </c>
      <c r="D69" s="23"/>
      <c r="E69" s="23"/>
      <c r="Y69" s="23"/>
      <c r="AS69" s="23"/>
      <c r="AT69" s="16">
        <v>48.0</v>
      </c>
      <c r="AU69" s="61">
        <v>48.0</v>
      </c>
    </row>
    <row r="70">
      <c r="B70" s="60">
        <v>30.0</v>
      </c>
      <c r="C70" s="23" t="s">
        <v>30</v>
      </c>
      <c r="D70" s="23"/>
      <c r="E70" s="23"/>
      <c r="Y70" s="23"/>
      <c r="AS70" s="23"/>
      <c r="AT70" s="16">
        <v>48.0</v>
      </c>
      <c r="AU70" s="61">
        <v>48.0</v>
      </c>
    </row>
    <row r="71">
      <c r="B71" s="60">
        <v>31.0</v>
      </c>
      <c r="C71" s="23" t="s">
        <v>33</v>
      </c>
      <c r="D71" s="23"/>
      <c r="E71" s="23"/>
      <c r="Y71" s="23"/>
      <c r="AS71" s="23"/>
      <c r="AT71" s="16">
        <v>48.0</v>
      </c>
      <c r="AU71" s="61">
        <v>48.0</v>
      </c>
    </row>
    <row r="72">
      <c r="B72" s="60">
        <v>32.0</v>
      </c>
      <c r="C72" s="23" t="s">
        <v>239</v>
      </c>
      <c r="D72" s="23"/>
      <c r="E72" s="23"/>
      <c r="Y72" s="23"/>
      <c r="AS72" s="23"/>
      <c r="AT72" s="16">
        <v>48.0</v>
      </c>
      <c r="AU72" s="61">
        <v>48.0</v>
      </c>
    </row>
    <row r="73">
      <c r="B73" s="60">
        <v>33.0</v>
      </c>
      <c r="C73" s="23" t="s">
        <v>501</v>
      </c>
      <c r="D73" s="23"/>
      <c r="E73" s="23"/>
      <c r="Y73" s="23"/>
      <c r="AS73" s="23"/>
      <c r="AT73" s="16">
        <v>48.0</v>
      </c>
      <c r="AU73" s="61">
        <v>48.0</v>
      </c>
    </row>
    <row r="74">
      <c r="B74" s="60">
        <v>34.0</v>
      </c>
      <c r="C74" s="23" t="s">
        <v>502</v>
      </c>
      <c r="D74" s="23"/>
      <c r="E74" s="23"/>
      <c r="Y74" s="23"/>
      <c r="AS74" s="23"/>
      <c r="AT74" s="16">
        <v>48.0</v>
      </c>
      <c r="AU74" s="61">
        <v>48.0</v>
      </c>
    </row>
    <row r="75">
      <c r="B75" s="60">
        <v>35.0</v>
      </c>
      <c r="C75" s="23" t="s">
        <v>247</v>
      </c>
      <c r="D75" s="23"/>
      <c r="E75" s="23"/>
      <c r="Y75" s="23"/>
      <c r="AS75" s="23"/>
      <c r="AT75" s="16">
        <v>48.0</v>
      </c>
      <c r="AU75" s="61">
        <v>48.0</v>
      </c>
    </row>
    <row r="76">
      <c r="B76" s="60">
        <v>36.0</v>
      </c>
      <c r="C76" s="23" t="s">
        <v>250</v>
      </c>
      <c r="D76" s="23"/>
      <c r="E76" s="23"/>
      <c r="Y76" s="23"/>
      <c r="AS76" s="23"/>
      <c r="AT76" s="16">
        <v>48.0</v>
      </c>
      <c r="AU76" s="61">
        <v>48.0</v>
      </c>
    </row>
    <row r="77">
      <c r="B77" s="60">
        <v>37.0</v>
      </c>
      <c r="C77" s="23" t="s">
        <v>503</v>
      </c>
      <c r="D77" s="23"/>
      <c r="E77" s="23"/>
      <c r="Y77" s="23"/>
      <c r="AS77" s="23"/>
      <c r="AT77" s="16">
        <v>48.0</v>
      </c>
      <c r="AU77" s="61">
        <v>48.0</v>
      </c>
    </row>
    <row r="78">
      <c r="B78" s="60">
        <v>38.0</v>
      </c>
      <c r="C78" s="23" t="s">
        <v>504</v>
      </c>
      <c r="D78" s="23"/>
      <c r="E78" s="23"/>
      <c r="Y78" s="23"/>
      <c r="AS78" s="23"/>
      <c r="AT78" s="16">
        <v>48.0</v>
      </c>
      <c r="AU78" s="61">
        <v>48.0</v>
      </c>
    </row>
    <row r="79">
      <c r="B79" s="60">
        <v>39.0</v>
      </c>
      <c r="C79" s="23" t="s">
        <v>260</v>
      </c>
      <c r="D79" s="23"/>
      <c r="E79" s="23"/>
      <c r="Y79" s="23"/>
      <c r="AS79" s="23"/>
      <c r="AT79" s="16">
        <v>48.0</v>
      </c>
      <c r="AU79" s="61">
        <v>48.0</v>
      </c>
    </row>
    <row r="80">
      <c r="B80" s="60">
        <v>40.0</v>
      </c>
      <c r="C80" s="23" t="s">
        <v>262</v>
      </c>
      <c r="D80" s="23"/>
      <c r="E80" s="23"/>
      <c r="Y80" s="23"/>
      <c r="AS80" s="23"/>
      <c r="AT80" s="16">
        <v>48.0</v>
      </c>
      <c r="AU80" s="61">
        <v>48.0</v>
      </c>
    </row>
    <row r="81">
      <c r="B81" s="60">
        <v>41.0</v>
      </c>
      <c r="C81" s="23" t="s">
        <v>263</v>
      </c>
      <c r="D81" s="23"/>
      <c r="E81" s="23"/>
      <c r="Y81" s="23"/>
      <c r="AS81" s="23"/>
      <c r="AT81" s="16">
        <v>48.0</v>
      </c>
      <c r="AU81" s="61">
        <v>48.0</v>
      </c>
    </row>
    <row r="82">
      <c r="B82" s="60">
        <v>42.0</v>
      </c>
      <c r="C82" s="23" t="s">
        <v>264</v>
      </c>
      <c r="D82" s="23"/>
      <c r="E82" s="23"/>
      <c r="Y82" s="23"/>
      <c r="AS82" s="23"/>
      <c r="AT82" s="16">
        <v>48.0</v>
      </c>
      <c r="AU82" s="61">
        <v>48.0</v>
      </c>
    </row>
    <row r="83">
      <c r="B83" s="60">
        <v>43.0</v>
      </c>
      <c r="C83" s="23" t="s">
        <v>265</v>
      </c>
      <c r="D83" s="23"/>
      <c r="E83" s="23"/>
      <c r="Y83" s="23"/>
      <c r="AS83" s="23"/>
      <c r="AT83" s="16">
        <v>48.0</v>
      </c>
      <c r="AU83" s="61">
        <v>48.0</v>
      </c>
    </row>
    <row r="84">
      <c r="B84" s="60">
        <v>44.0</v>
      </c>
      <c r="C84" s="23" t="s">
        <v>266</v>
      </c>
      <c r="D84" s="23"/>
      <c r="E84" s="23"/>
      <c r="Y84" s="23"/>
      <c r="AS84" s="23"/>
      <c r="AT84" s="16">
        <v>48.0</v>
      </c>
      <c r="AU84" s="61">
        <v>48.0</v>
      </c>
    </row>
    <row r="85">
      <c r="B85" s="60">
        <v>45.0</v>
      </c>
      <c r="C85" s="23" t="s">
        <v>269</v>
      </c>
      <c r="D85" s="23"/>
      <c r="E85" s="23"/>
      <c r="Y85" s="23"/>
      <c r="AS85" s="23"/>
      <c r="AT85" s="16">
        <v>48.0</v>
      </c>
      <c r="AU85" s="61">
        <v>48.0</v>
      </c>
    </row>
    <row r="86">
      <c r="B86" s="60">
        <v>46.0</v>
      </c>
      <c r="C86" s="23" t="s">
        <v>505</v>
      </c>
      <c r="D86" s="23"/>
      <c r="E86" s="23"/>
      <c r="Y86" s="23"/>
      <c r="AS86" s="23"/>
      <c r="AT86" s="16">
        <v>48.0</v>
      </c>
      <c r="AU86" s="61">
        <v>48.0</v>
      </c>
    </row>
    <row r="87">
      <c r="B87" s="60">
        <v>47.0</v>
      </c>
      <c r="C87" s="23" t="s">
        <v>506</v>
      </c>
      <c r="D87" s="23"/>
      <c r="E87" s="23"/>
      <c r="Y87" s="23"/>
      <c r="AS87" s="23"/>
      <c r="AT87" s="16">
        <v>48.0</v>
      </c>
      <c r="AU87" s="61">
        <v>48.0</v>
      </c>
    </row>
    <row r="88">
      <c r="B88" s="60">
        <v>48.0</v>
      </c>
      <c r="C88" s="23" t="s">
        <v>271</v>
      </c>
      <c r="D88" s="23"/>
      <c r="E88" s="23"/>
      <c r="Y88" s="23"/>
      <c r="AS88" s="23"/>
      <c r="AT88" s="16">
        <v>48.0</v>
      </c>
      <c r="AU88" s="61">
        <v>48.0</v>
      </c>
    </row>
    <row r="89">
      <c r="B89" s="60">
        <v>49.0</v>
      </c>
      <c r="C89" s="23" t="s">
        <v>272</v>
      </c>
      <c r="D89" s="23"/>
      <c r="E89" s="23"/>
      <c r="Y89" s="23"/>
      <c r="AS89" s="23"/>
      <c r="AT89" s="16">
        <v>48.0</v>
      </c>
      <c r="AU89" s="61">
        <v>48.0</v>
      </c>
    </row>
    <row r="90">
      <c r="B90" s="60">
        <v>50.0</v>
      </c>
      <c r="C90" s="23" t="s">
        <v>507</v>
      </c>
      <c r="D90" s="23"/>
      <c r="E90" s="23"/>
      <c r="Y90" s="23"/>
      <c r="AS90" s="23"/>
      <c r="AT90" s="16">
        <v>48.0</v>
      </c>
      <c r="AU90" s="61">
        <v>48.0</v>
      </c>
    </row>
    <row r="91">
      <c r="B91" s="60">
        <v>51.0</v>
      </c>
      <c r="C91" s="23" t="s">
        <v>276</v>
      </c>
      <c r="D91" s="23"/>
      <c r="E91" s="23"/>
      <c r="Y91" s="23"/>
      <c r="AS91" s="23"/>
      <c r="AT91" s="16">
        <v>48.0</v>
      </c>
      <c r="AU91" s="61">
        <v>48.0</v>
      </c>
    </row>
    <row r="92">
      <c r="B92" s="60">
        <v>52.0</v>
      </c>
      <c r="C92" s="23" t="s">
        <v>278</v>
      </c>
      <c r="D92" s="23"/>
      <c r="E92" s="23"/>
      <c r="Y92" s="23"/>
      <c r="AS92" s="23"/>
      <c r="AT92" s="16">
        <v>48.0</v>
      </c>
      <c r="AU92" s="61">
        <v>48.0</v>
      </c>
    </row>
    <row r="93">
      <c r="B93" s="60">
        <v>53.0</v>
      </c>
      <c r="C93" s="23" t="s">
        <v>508</v>
      </c>
      <c r="D93" s="23"/>
      <c r="E93" s="23"/>
      <c r="Y93" s="23"/>
      <c r="AS93" s="23"/>
      <c r="AT93" s="16">
        <v>48.0</v>
      </c>
      <c r="AU93" s="61">
        <v>48.0</v>
      </c>
    </row>
    <row r="94">
      <c r="B94" s="60">
        <v>54.0</v>
      </c>
      <c r="C94" s="68" t="s">
        <v>280</v>
      </c>
      <c r="D94" s="23"/>
      <c r="E94" s="23"/>
      <c r="Y94" s="23"/>
      <c r="AS94" s="23"/>
      <c r="AT94" s="16">
        <v>48.0</v>
      </c>
      <c r="AU94" s="61">
        <v>48.0</v>
      </c>
    </row>
    <row r="95">
      <c r="B95" s="60">
        <v>55.0</v>
      </c>
      <c r="C95" s="23" t="s">
        <v>283</v>
      </c>
      <c r="D95" s="23"/>
      <c r="E95" s="23"/>
      <c r="Y95" s="23"/>
      <c r="AS95" s="23"/>
      <c r="AT95" s="16">
        <v>48.0</v>
      </c>
      <c r="AU95" s="61">
        <v>48.0</v>
      </c>
    </row>
    <row r="96">
      <c r="B96" s="60">
        <v>56.0</v>
      </c>
      <c r="C96" s="23" t="s">
        <v>509</v>
      </c>
      <c r="D96" s="23"/>
      <c r="E96" s="23"/>
      <c r="Y96" s="23"/>
      <c r="AS96" s="23"/>
      <c r="AT96" s="16">
        <v>48.0</v>
      </c>
      <c r="AU96" s="61">
        <v>48.0</v>
      </c>
    </row>
    <row r="97">
      <c r="B97" s="60">
        <v>57.0</v>
      </c>
      <c r="C97" s="23" t="s">
        <v>510</v>
      </c>
      <c r="D97" s="23"/>
      <c r="E97" s="23"/>
      <c r="Y97" s="23"/>
      <c r="AS97" s="23"/>
      <c r="AT97" s="16">
        <v>48.0</v>
      </c>
      <c r="AU97" s="61">
        <v>48.0</v>
      </c>
    </row>
    <row r="98">
      <c r="B98" s="60">
        <v>58.0</v>
      </c>
      <c r="C98" s="23" t="s">
        <v>511</v>
      </c>
      <c r="D98" s="23"/>
      <c r="E98" s="23"/>
      <c r="Y98" s="23"/>
      <c r="AS98" s="23"/>
      <c r="AT98" s="16">
        <v>48.0</v>
      </c>
      <c r="AU98" s="61">
        <v>48.0</v>
      </c>
    </row>
    <row r="99">
      <c r="B99" s="60">
        <v>59.0</v>
      </c>
      <c r="C99" s="23" t="s">
        <v>87</v>
      </c>
      <c r="D99" s="23"/>
      <c r="E99" s="23"/>
      <c r="Y99" s="23"/>
      <c r="AS99" s="23"/>
      <c r="AT99" s="16">
        <v>48.0</v>
      </c>
      <c r="AU99" s="61">
        <v>48.0</v>
      </c>
    </row>
    <row r="100">
      <c r="B100" s="60">
        <v>60.0</v>
      </c>
      <c r="C100" s="23" t="s">
        <v>512</v>
      </c>
      <c r="D100" s="23"/>
      <c r="E100" s="23"/>
      <c r="Y100" s="23"/>
      <c r="AS100" s="23"/>
      <c r="AT100" s="16">
        <v>48.0</v>
      </c>
      <c r="AU100" s="61">
        <v>48.0</v>
      </c>
    </row>
    <row r="101">
      <c r="B101" s="60">
        <v>61.0</v>
      </c>
      <c r="C101" s="23" t="s">
        <v>289</v>
      </c>
      <c r="D101" s="23"/>
      <c r="E101" s="23"/>
      <c r="Y101" s="23"/>
      <c r="AS101" s="23"/>
      <c r="AT101" s="16">
        <v>48.0</v>
      </c>
      <c r="AU101" s="61">
        <v>48.0</v>
      </c>
    </row>
    <row r="102">
      <c r="B102" s="60">
        <v>62.0</v>
      </c>
      <c r="C102" s="23" t="s">
        <v>290</v>
      </c>
      <c r="D102" s="23"/>
      <c r="E102" s="23"/>
      <c r="Y102" s="23"/>
      <c r="AS102" s="23"/>
      <c r="AT102" s="16">
        <v>48.0</v>
      </c>
      <c r="AU102" s="61">
        <v>48.0</v>
      </c>
    </row>
    <row r="103">
      <c r="B103" s="60">
        <v>63.0</v>
      </c>
      <c r="C103" s="23" t="s">
        <v>291</v>
      </c>
      <c r="D103" s="23"/>
      <c r="E103" s="23"/>
      <c r="Y103" s="23"/>
      <c r="AS103" s="23"/>
      <c r="AT103" s="16">
        <v>48.0</v>
      </c>
      <c r="AU103" s="61">
        <v>48.0</v>
      </c>
    </row>
    <row r="104">
      <c r="B104" s="60">
        <v>64.0</v>
      </c>
      <c r="C104" s="23" t="s">
        <v>513</v>
      </c>
      <c r="D104" s="23"/>
      <c r="E104" s="23"/>
      <c r="Y104" s="23"/>
      <c r="AS104" s="23"/>
      <c r="AT104" s="16">
        <v>48.0</v>
      </c>
      <c r="AU104" s="61">
        <v>48.0</v>
      </c>
    </row>
    <row r="105">
      <c r="B105" s="60">
        <v>65.0</v>
      </c>
      <c r="C105" s="23" t="s">
        <v>293</v>
      </c>
      <c r="D105" s="23"/>
      <c r="E105" s="23"/>
      <c r="Y105" s="23"/>
      <c r="AS105" s="23"/>
      <c r="AT105" s="16">
        <v>48.0</v>
      </c>
      <c r="AU105" s="61">
        <v>48.0</v>
      </c>
    </row>
    <row r="106">
      <c r="B106" s="60">
        <v>66.0</v>
      </c>
      <c r="C106" s="23" t="s">
        <v>294</v>
      </c>
      <c r="D106" s="23"/>
      <c r="E106" s="23"/>
      <c r="Y106" s="23"/>
      <c r="AS106" s="23"/>
      <c r="AT106" s="16">
        <v>48.0</v>
      </c>
      <c r="AU106" s="61">
        <v>48.0</v>
      </c>
    </row>
    <row r="107">
      <c r="B107" s="60">
        <v>67.0</v>
      </c>
      <c r="C107" s="68" t="s">
        <v>514</v>
      </c>
      <c r="D107" s="23"/>
      <c r="E107" s="23"/>
      <c r="Y107" s="23"/>
      <c r="AS107" s="23"/>
      <c r="AT107" s="16">
        <v>48.0</v>
      </c>
      <c r="AU107" s="61">
        <v>48.0</v>
      </c>
    </row>
    <row r="108">
      <c r="B108" s="60">
        <v>68.0</v>
      </c>
      <c r="C108" s="23" t="s">
        <v>515</v>
      </c>
      <c r="D108" s="23"/>
      <c r="E108" s="23"/>
      <c r="Y108" s="23"/>
      <c r="AS108" s="23"/>
      <c r="AT108" s="16">
        <v>48.0</v>
      </c>
      <c r="AU108" s="61">
        <v>48.0</v>
      </c>
    </row>
    <row r="109">
      <c r="B109" s="60">
        <v>69.0</v>
      </c>
      <c r="C109" s="23" t="s">
        <v>297</v>
      </c>
      <c r="D109" s="23"/>
      <c r="E109" s="23"/>
      <c r="Y109" s="23"/>
      <c r="AS109" s="23"/>
      <c r="AT109" s="16">
        <v>48.0</v>
      </c>
      <c r="AU109" s="61">
        <v>48.0</v>
      </c>
    </row>
    <row r="110">
      <c r="B110" s="60">
        <v>70.0</v>
      </c>
      <c r="C110" s="23" t="s">
        <v>516</v>
      </c>
      <c r="D110" s="23"/>
      <c r="E110" s="23"/>
      <c r="Y110" s="23"/>
      <c r="AS110" s="23"/>
      <c r="AT110" s="16">
        <v>48.0</v>
      </c>
      <c r="AU110" s="61">
        <v>48.0</v>
      </c>
    </row>
    <row r="111">
      <c r="B111" s="60">
        <v>71.0</v>
      </c>
      <c r="C111" s="23" t="s">
        <v>299</v>
      </c>
      <c r="D111" s="23"/>
      <c r="E111" s="23"/>
      <c r="Y111" s="23"/>
      <c r="AS111" s="23"/>
      <c r="AT111" s="16">
        <v>48.0</v>
      </c>
      <c r="AU111" s="61">
        <v>48.0</v>
      </c>
    </row>
    <row r="112">
      <c r="B112" s="60">
        <v>72.0</v>
      </c>
      <c r="C112" s="23" t="s">
        <v>517</v>
      </c>
      <c r="D112" s="23"/>
      <c r="E112" s="23"/>
      <c r="Y112" s="23"/>
      <c r="AS112" s="23"/>
      <c r="AT112" s="16">
        <v>48.0</v>
      </c>
      <c r="AU112" s="61">
        <v>48.0</v>
      </c>
    </row>
    <row r="113">
      <c r="B113" s="60">
        <v>73.0</v>
      </c>
      <c r="C113" s="23" t="s">
        <v>301</v>
      </c>
      <c r="D113" s="23"/>
      <c r="E113" s="23"/>
      <c r="Y113" s="23"/>
      <c r="AS113" s="23"/>
      <c r="AT113" s="16">
        <v>48.0</v>
      </c>
      <c r="AU113" s="61">
        <v>48.0</v>
      </c>
    </row>
    <row r="114">
      <c r="B114" s="60">
        <v>74.0</v>
      </c>
      <c r="C114" s="23" t="s">
        <v>302</v>
      </c>
      <c r="D114" s="23"/>
      <c r="E114" s="23"/>
      <c r="Y114" s="23"/>
      <c r="AS114" s="23"/>
      <c r="AT114" s="16">
        <v>48.0</v>
      </c>
      <c r="AU114" s="61">
        <v>48.0</v>
      </c>
    </row>
    <row r="115">
      <c r="B115" s="60">
        <v>75.0</v>
      </c>
      <c r="C115" s="23" t="s">
        <v>303</v>
      </c>
      <c r="D115" s="23"/>
      <c r="E115" s="23"/>
      <c r="Y115" s="23"/>
      <c r="AS115" s="23"/>
      <c r="AT115" s="16">
        <v>48.0</v>
      </c>
      <c r="AU115" s="61">
        <v>48.0</v>
      </c>
    </row>
    <row r="116">
      <c r="B116" s="60">
        <v>76.0</v>
      </c>
      <c r="C116" s="23" t="s">
        <v>304</v>
      </c>
      <c r="D116" s="23"/>
      <c r="E116" s="23"/>
      <c r="Y116" s="23"/>
      <c r="AS116" s="23"/>
      <c r="AT116" s="16">
        <v>48.0</v>
      </c>
      <c r="AU116" s="61">
        <v>48.0</v>
      </c>
    </row>
    <row r="117">
      <c r="B117" s="60">
        <v>77.0</v>
      </c>
      <c r="C117" s="23" t="s">
        <v>155</v>
      </c>
      <c r="D117" s="23"/>
      <c r="E117" s="23"/>
      <c r="Y117" s="23"/>
      <c r="AS117" s="23"/>
      <c r="AT117" s="16">
        <v>48.0</v>
      </c>
      <c r="AU117" s="61">
        <v>48.0</v>
      </c>
    </row>
    <row r="118">
      <c r="B118" s="60">
        <v>78.0</v>
      </c>
      <c r="C118" s="23" t="s">
        <v>518</v>
      </c>
      <c r="D118" s="23"/>
      <c r="E118" s="23"/>
      <c r="Y118" s="23"/>
      <c r="AS118" s="23"/>
      <c r="AT118" s="16">
        <v>48.0</v>
      </c>
      <c r="AU118" s="61">
        <v>48.0</v>
      </c>
    </row>
    <row r="119">
      <c r="B119" s="60">
        <v>79.0</v>
      </c>
      <c r="C119" s="23" t="s">
        <v>519</v>
      </c>
      <c r="D119" s="23"/>
      <c r="E119" s="23"/>
      <c r="Y119" s="23"/>
      <c r="AS119" s="23"/>
      <c r="AT119" s="16">
        <v>48.0</v>
      </c>
      <c r="AU119" s="61">
        <v>48.0</v>
      </c>
    </row>
    <row r="120">
      <c r="B120" s="60">
        <v>80.0</v>
      </c>
      <c r="C120" s="23" t="s">
        <v>520</v>
      </c>
      <c r="D120" s="23"/>
      <c r="E120" s="23"/>
      <c r="Y120" s="23"/>
      <c r="AS120" s="23"/>
      <c r="AT120" s="16">
        <v>48.0</v>
      </c>
      <c r="AU120" s="61">
        <v>48.0</v>
      </c>
    </row>
    <row r="121">
      <c r="B121" s="60">
        <v>81.0</v>
      </c>
      <c r="C121" s="23" t="s">
        <v>521</v>
      </c>
      <c r="D121" s="23"/>
      <c r="E121" s="23"/>
      <c r="Y121" s="23"/>
      <c r="Z121" s="69"/>
      <c r="AA121" s="69"/>
      <c r="AB121" s="69"/>
      <c r="AC121" s="69"/>
      <c r="AD121" s="69"/>
      <c r="AE121" s="69"/>
      <c r="AF121" s="69"/>
      <c r="AG121" s="69"/>
      <c r="AH121" s="69"/>
      <c r="AI121" s="69"/>
      <c r="AJ121" s="69"/>
      <c r="AK121" s="69"/>
      <c r="AL121" s="69"/>
      <c r="AM121" s="69"/>
      <c r="AN121" s="69"/>
      <c r="AO121" s="69"/>
      <c r="AP121" s="69"/>
      <c r="AQ121" s="69"/>
      <c r="AR121" s="69"/>
      <c r="AS121" s="70"/>
      <c r="AT121" s="16">
        <v>48.0</v>
      </c>
      <c r="AU121" s="61">
        <v>48.0</v>
      </c>
    </row>
    <row r="122">
      <c r="B122" s="60">
        <v>82.0</v>
      </c>
      <c r="C122" s="23" t="s">
        <v>308</v>
      </c>
      <c r="D122" s="23"/>
      <c r="E122" s="23"/>
      <c r="Y122" s="23"/>
      <c r="Z122" s="69"/>
      <c r="AA122" s="69"/>
      <c r="AB122" s="69"/>
      <c r="AC122" s="69"/>
      <c r="AD122" s="69"/>
      <c r="AE122" s="69"/>
      <c r="AF122" s="69"/>
      <c r="AG122" s="69"/>
      <c r="AH122" s="69"/>
      <c r="AI122" s="69"/>
      <c r="AJ122" s="69"/>
      <c r="AK122" s="69"/>
      <c r="AL122" s="69"/>
      <c r="AM122" s="69"/>
      <c r="AN122" s="69"/>
      <c r="AO122" s="69"/>
      <c r="AP122" s="69"/>
      <c r="AQ122" s="69"/>
      <c r="AR122" s="69"/>
      <c r="AS122" s="70"/>
      <c r="AT122" s="16">
        <v>48.0</v>
      </c>
      <c r="AU122" s="61">
        <v>48.0</v>
      </c>
    </row>
    <row r="123">
      <c r="B123" s="60">
        <v>83.0</v>
      </c>
      <c r="C123" s="27" t="s">
        <v>309</v>
      </c>
      <c r="D123" s="23"/>
      <c r="E123" s="23"/>
      <c r="Y123" s="23"/>
      <c r="AS123" s="23"/>
      <c r="AT123" s="16">
        <v>48.0</v>
      </c>
      <c r="AU123" s="61">
        <v>48.0</v>
      </c>
    </row>
    <row r="124">
      <c r="B124" s="60">
        <v>84.0</v>
      </c>
      <c r="C124" s="27" t="s">
        <v>311</v>
      </c>
      <c r="D124" s="23"/>
      <c r="E124" s="23"/>
      <c r="Y124" s="23"/>
      <c r="AS124" s="23"/>
      <c r="AT124" s="16">
        <v>48.0</v>
      </c>
      <c r="AU124" s="61">
        <v>48.0</v>
      </c>
    </row>
    <row r="125">
      <c r="B125" s="60">
        <v>85.0</v>
      </c>
      <c r="C125" s="27" t="s">
        <v>522</v>
      </c>
      <c r="D125" s="23"/>
      <c r="E125" s="23"/>
      <c r="Y125" s="23"/>
      <c r="AS125" s="23"/>
      <c r="AT125" s="16">
        <v>48.0</v>
      </c>
      <c r="AU125" s="61">
        <v>48.0</v>
      </c>
    </row>
    <row r="126">
      <c r="B126" s="60">
        <v>86.0</v>
      </c>
      <c r="C126" s="27" t="s">
        <v>313</v>
      </c>
      <c r="D126" s="23"/>
      <c r="E126" s="23"/>
      <c r="Y126" s="23"/>
      <c r="AS126" s="23"/>
      <c r="AT126" s="16">
        <v>48.0</v>
      </c>
      <c r="AU126" s="61">
        <v>48.0</v>
      </c>
    </row>
    <row r="127">
      <c r="B127" s="60">
        <v>87.0</v>
      </c>
      <c r="C127" s="27" t="s">
        <v>523</v>
      </c>
      <c r="D127" s="23"/>
      <c r="E127" s="23"/>
      <c r="Y127" s="23"/>
      <c r="AS127" s="23"/>
      <c r="AT127" s="16">
        <v>48.0</v>
      </c>
      <c r="AU127" s="61">
        <v>48.0</v>
      </c>
    </row>
    <row r="128">
      <c r="B128" s="60">
        <v>88.0</v>
      </c>
      <c r="C128" s="27" t="s">
        <v>158</v>
      </c>
      <c r="D128" s="23"/>
      <c r="E128" s="23"/>
      <c r="Y128" s="23"/>
      <c r="AS128" s="23"/>
      <c r="AT128" s="16">
        <v>48.0</v>
      </c>
      <c r="AU128" s="61">
        <v>48.0</v>
      </c>
    </row>
    <row r="129">
      <c r="B129" s="60">
        <v>89.0</v>
      </c>
      <c r="C129" s="27" t="s">
        <v>316</v>
      </c>
      <c r="D129" s="23"/>
      <c r="E129" s="23"/>
      <c r="Y129" s="23"/>
      <c r="AS129" s="23"/>
      <c r="AT129" s="16">
        <v>48.0</v>
      </c>
      <c r="AU129" s="61">
        <v>48.0</v>
      </c>
    </row>
    <row r="130">
      <c r="B130" s="60">
        <v>90.0</v>
      </c>
      <c r="C130" s="27" t="s">
        <v>524</v>
      </c>
      <c r="D130" s="23"/>
      <c r="E130" s="23"/>
      <c r="Y130" s="23"/>
      <c r="AS130" s="23"/>
      <c r="AT130" s="16">
        <v>48.0</v>
      </c>
      <c r="AU130" s="61">
        <v>48.0</v>
      </c>
    </row>
    <row r="131">
      <c r="B131" s="60">
        <v>91.0</v>
      </c>
      <c r="C131" s="27" t="s">
        <v>525</v>
      </c>
      <c r="D131" s="23"/>
      <c r="E131" s="23"/>
      <c r="Y131" s="23"/>
      <c r="AS131" s="23"/>
      <c r="AT131" s="16">
        <v>48.0</v>
      </c>
      <c r="AU131" s="61">
        <v>48.0</v>
      </c>
    </row>
    <row r="132">
      <c r="B132" s="60">
        <v>92.0</v>
      </c>
      <c r="C132" s="27" t="s">
        <v>319</v>
      </c>
      <c r="D132" s="23"/>
      <c r="E132" s="23"/>
      <c r="Y132" s="23"/>
      <c r="AS132" s="23"/>
      <c r="AT132" s="16">
        <v>48.0</v>
      </c>
      <c r="AU132" s="61">
        <v>48.0</v>
      </c>
    </row>
    <row r="133">
      <c r="B133" s="60">
        <v>93.0</v>
      </c>
      <c r="C133" s="27" t="s">
        <v>526</v>
      </c>
      <c r="D133" s="23"/>
      <c r="E133" s="23"/>
      <c r="Y133" s="23"/>
      <c r="AS133" s="23"/>
      <c r="AT133" s="16">
        <v>48.0</v>
      </c>
      <c r="AU133" s="61">
        <v>48.0</v>
      </c>
    </row>
    <row r="134">
      <c r="B134" s="60">
        <v>94.0</v>
      </c>
      <c r="C134" s="27" t="s">
        <v>184</v>
      </c>
      <c r="D134" s="23"/>
      <c r="E134" s="23"/>
      <c r="Y134" s="23"/>
      <c r="AS134" s="23"/>
      <c r="AT134" s="16">
        <v>48.0</v>
      </c>
      <c r="AU134" s="61">
        <v>48.0</v>
      </c>
    </row>
    <row r="135">
      <c r="B135" s="60">
        <v>95.0</v>
      </c>
      <c r="C135" s="27" t="s">
        <v>178</v>
      </c>
      <c r="D135" s="23"/>
      <c r="E135" s="23"/>
      <c r="Y135" s="23"/>
      <c r="AS135" s="23"/>
      <c r="AT135" s="16">
        <v>48.0</v>
      </c>
      <c r="AU135" s="61">
        <v>48.0</v>
      </c>
    </row>
    <row r="136">
      <c r="B136" s="60">
        <v>96.0</v>
      </c>
      <c r="C136" s="27" t="s">
        <v>322</v>
      </c>
      <c r="D136" s="23"/>
      <c r="E136" s="23"/>
      <c r="Y136" s="23"/>
      <c r="AS136" s="23"/>
      <c r="AT136" s="16">
        <v>48.0</v>
      </c>
      <c r="AU136" s="61">
        <v>48.0</v>
      </c>
    </row>
    <row r="137">
      <c r="B137" s="60">
        <v>97.0</v>
      </c>
      <c r="C137" s="27" t="s">
        <v>238</v>
      </c>
      <c r="D137" s="23"/>
      <c r="E137" s="23"/>
      <c r="Y137" s="23"/>
      <c r="AS137" s="23"/>
      <c r="AT137" s="16">
        <v>48.0</v>
      </c>
      <c r="AU137" s="61">
        <v>48.0</v>
      </c>
    </row>
    <row r="138">
      <c r="B138" s="60">
        <v>98.0</v>
      </c>
      <c r="C138" s="27" t="s">
        <v>527</v>
      </c>
      <c r="D138" s="23"/>
      <c r="E138" s="23"/>
      <c r="Y138" s="23"/>
      <c r="AS138" s="23"/>
      <c r="AT138" s="16">
        <v>48.0</v>
      </c>
      <c r="AU138" s="61">
        <v>48.0</v>
      </c>
    </row>
    <row r="139">
      <c r="B139" s="60">
        <v>99.0</v>
      </c>
      <c r="C139" s="27" t="s">
        <v>528</v>
      </c>
      <c r="D139" s="23"/>
      <c r="E139" s="23"/>
      <c r="Y139" s="23"/>
      <c r="AS139" s="23"/>
      <c r="AT139" s="16">
        <v>48.0</v>
      </c>
      <c r="AU139" s="61">
        <v>48.0</v>
      </c>
    </row>
    <row r="140">
      <c r="B140" s="60">
        <v>100.0</v>
      </c>
      <c r="C140" s="27" t="s">
        <v>326</v>
      </c>
      <c r="D140" s="23"/>
      <c r="E140" s="23"/>
      <c r="Y140" s="23"/>
      <c r="AS140" s="23"/>
      <c r="AU140" s="61"/>
    </row>
    <row r="141">
      <c r="B141" s="60">
        <v>101.0</v>
      </c>
      <c r="C141" s="27" t="s">
        <v>529</v>
      </c>
      <c r="D141" s="23"/>
      <c r="E141" s="23"/>
      <c r="Y141" s="23"/>
      <c r="AS141" s="23"/>
      <c r="AU141" s="61"/>
    </row>
    <row r="142">
      <c r="B142" s="60">
        <v>102.0</v>
      </c>
      <c r="C142" s="27" t="s">
        <v>328</v>
      </c>
      <c r="D142" s="23"/>
      <c r="E142" s="23"/>
      <c r="Y142" s="23"/>
      <c r="AS142" s="23"/>
      <c r="AU142" s="61"/>
    </row>
    <row r="143">
      <c r="B143" s="60">
        <v>103.0</v>
      </c>
      <c r="C143" s="23" t="s">
        <v>530</v>
      </c>
      <c r="D143" s="23"/>
      <c r="E143" s="23"/>
      <c r="Y143" s="23"/>
      <c r="AS143" s="23"/>
      <c r="AU143" s="61"/>
    </row>
    <row r="144">
      <c r="B144" s="60">
        <v>104.0</v>
      </c>
      <c r="C144" s="23" t="s">
        <v>531</v>
      </c>
      <c r="D144" s="23"/>
      <c r="E144" s="23"/>
      <c r="Y144" s="23"/>
      <c r="AS144" s="23"/>
      <c r="AU144" s="61"/>
    </row>
    <row r="145">
      <c r="B145" s="60">
        <v>105.0</v>
      </c>
      <c r="C145" s="23" t="s">
        <v>532</v>
      </c>
      <c r="D145" s="23"/>
      <c r="E145" s="23"/>
      <c r="Y145" s="23"/>
      <c r="AS145" s="23"/>
      <c r="AU145" s="61"/>
    </row>
    <row r="146">
      <c r="B146" s="60">
        <v>106.0</v>
      </c>
      <c r="C146" s="23" t="s">
        <v>533</v>
      </c>
      <c r="D146" s="23"/>
      <c r="E146" s="23"/>
      <c r="Y146" s="23"/>
      <c r="AS146" s="23"/>
      <c r="AU146" s="61"/>
    </row>
    <row r="147">
      <c r="B147" s="60">
        <v>107.0</v>
      </c>
      <c r="C147" s="23" t="s">
        <v>333</v>
      </c>
      <c r="D147" s="23"/>
      <c r="E147" s="23"/>
      <c r="Y147" s="23"/>
      <c r="AS147" s="23"/>
      <c r="AU147" s="61"/>
    </row>
    <row r="148">
      <c r="B148" s="60">
        <v>108.0</v>
      </c>
      <c r="C148" s="23" t="s">
        <v>334</v>
      </c>
      <c r="D148" s="23"/>
      <c r="E148" s="23"/>
      <c r="Y148" s="23"/>
      <c r="AS148" s="23"/>
      <c r="AU148" s="61"/>
    </row>
    <row r="149">
      <c r="B149" s="60">
        <v>109.0</v>
      </c>
      <c r="C149" s="23" t="s">
        <v>335</v>
      </c>
      <c r="D149" s="23"/>
      <c r="E149" s="23"/>
      <c r="Y149" s="23"/>
      <c r="AS149" s="23"/>
      <c r="AU149" s="61"/>
    </row>
    <row r="150">
      <c r="B150" s="60">
        <v>110.0</v>
      </c>
      <c r="C150" s="23" t="s">
        <v>534</v>
      </c>
      <c r="D150" s="23"/>
      <c r="E150" s="23"/>
      <c r="Y150" s="23"/>
      <c r="AS150" s="23"/>
      <c r="AU150" s="61"/>
    </row>
    <row r="151">
      <c r="B151" s="60">
        <v>111.0</v>
      </c>
      <c r="C151" s="23" t="s">
        <v>535</v>
      </c>
      <c r="D151" s="23"/>
      <c r="E151" s="23"/>
      <c r="Y151" s="23"/>
      <c r="AS151" s="23"/>
      <c r="AU151" s="61"/>
    </row>
    <row r="152">
      <c r="B152" s="60">
        <v>112.0</v>
      </c>
      <c r="C152" s="23" t="s">
        <v>536</v>
      </c>
      <c r="D152" s="23"/>
      <c r="E152" s="23"/>
      <c r="Y152" s="23"/>
      <c r="AS152" s="23"/>
      <c r="AU152" s="61"/>
    </row>
    <row r="153">
      <c r="B153" s="60">
        <v>113.0</v>
      </c>
      <c r="C153" s="23" t="s">
        <v>339</v>
      </c>
      <c r="D153" s="23"/>
      <c r="E153" s="23"/>
      <c r="Y153" s="23"/>
      <c r="AS153" s="23"/>
      <c r="AU153" s="61"/>
    </row>
    <row r="154">
      <c r="B154" s="60">
        <v>114.0</v>
      </c>
      <c r="C154" s="68" t="s">
        <v>340</v>
      </c>
      <c r="D154" s="23"/>
      <c r="E154" s="23"/>
      <c r="Y154" s="23"/>
      <c r="AS154" s="23"/>
      <c r="AU154" s="61"/>
    </row>
    <row r="155">
      <c r="B155" s="60">
        <v>115.0</v>
      </c>
      <c r="C155" s="68" t="s">
        <v>537</v>
      </c>
      <c r="D155" s="23"/>
      <c r="E155" s="23"/>
      <c r="Y155" s="23"/>
      <c r="AS155" s="23"/>
      <c r="AU155" s="61"/>
    </row>
    <row r="156">
      <c r="B156" s="60">
        <v>116.0</v>
      </c>
      <c r="C156" s="68" t="s">
        <v>538</v>
      </c>
      <c r="D156" s="23"/>
      <c r="E156" s="23"/>
      <c r="Y156" s="23"/>
      <c r="AS156" s="23"/>
      <c r="AU156" s="61"/>
    </row>
    <row r="157">
      <c r="B157" s="60">
        <v>117.0</v>
      </c>
      <c r="C157" s="23" t="s">
        <v>539</v>
      </c>
      <c r="D157" s="23"/>
      <c r="E157" s="23"/>
      <c r="Y157" s="23"/>
      <c r="AS157" s="23"/>
      <c r="AU157" s="61"/>
    </row>
    <row r="158">
      <c r="B158" s="60">
        <v>118.0</v>
      </c>
      <c r="C158" s="23" t="s">
        <v>540</v>
      </c>
      <c r="D158" s="23"/>
      <c r="E158" s="23"/>
      <c r="Y158" s="23"/>
      <c r="AS158" s="23"/>
      <c r="AU158" s="61"/>
    </row>
    <row r="159">
      <c r="B159" s="60">
        <v>119.0</v>
      </c>
      <c r="C159" s="23" t="s">
        <v>346</v>
      </c>
      <c r="D159" s="23"/>
      <c r="E159" s="23"/>
      <c r="Y159" s="23"/>
      <c r="AS159" s="23"/>
      <c r="AU159" s="61"/>
    </row>
    <row r="160">
      <c r="B160" s="60">
        <v>120.0</v>
      </c>
      <c r="C160" s="23" t="s">
        <v>541</v>
      </c>
      <c r="D160" s="23"/>
      <c r="E160" s="23"/>
      <c r="Y160" s="23"/>
      <c r="AS160" s="23"/>
      <c r="AU160" s="61"/>
    </row>
    <row r="161">
      <c r="B161" s="60">
        <v>121.0</v>
      </c>
      <c r="C161" s="23" t="s">
        <v>542</v>
      </c>
      <c r="D161" s="23"/>
      <c r="E161" s="23"/>
      <c r="Y161" s="23"/>
      <c r="AS161" s="23"/>
      <c r="AU161" s="61"/>
    </row>
    <row r="162">
      <c r="B162" s="60">
        <v>122.0</v>
      </c>
      <c r="C162" s="23" t="s">
        <v>543</v>
      </c>
      <c r="D162" s="23"/>
      <c r="E162" s="23"/>
      <c r="Y162" s="23"/>
      <c r="AS162" s="23"/>
      <c r="AU162" s="61"/>
    </row>
    <row r="163">
      <c r="B163" s="60">
        <v>123.0</v>
      </c>
      <c r="C163" s="23" t="s">
        <v>352</v>
      </c>
      <c r="D163" s="23"/>
      <c r="E163" s="23"/>
      <c r="Y163" s="23"/>
      <c r="AS163" s="23"/>
      <c r="AU163" s="61"/>
    </row>
    <row r="164">
      <c r="B164" s="60">
        <v>124.0</v>
      </c>
      <c r="C164" s="23" t="s">
        <v>544</v>
      </c>
      <c r="D164" s="23"/>
      <c r="E164" s="23"/>
      <c r="Y164" s="23"/>
      <c r="AS164" s="23"/>
      <c r="AU164" s="61"/>
    </row>
    <row r="165">
      <c r="B165" s="60">
        <v>125.0</v>
      </c>
      <c r="C165" s="23" t="s">
        <v>354</v>
      </c>
      <c r="D165" s="23"/>
      <c r="E165" s="23"/>
      <c r="Y165" s="23"/>
      <c r="AS165" s="23"/>
      <c r="AU165" s="61"/>
    </row>
    <row r="166">
      <c r="B166" s="60">
        <v>126.0</v>
      </c>
      <c r="C166" s="23" t="s">
        <v>545</v>
      </c>
      <c r="D166" s="23"/>
      <c r="E166" s="23"/>
      <c r="Y166" s="23"/>
      <c r="AS166" s="23"/>
      <c r="AU166" s="61"/>
    </row>
    <row r="167">
      <c r="B167" s="60">
        <v>127.0</v>
      </c>
      <c r="C167" s="23" t="s">
        <v>357</v>
      </c>
      <c r="D167" s="23"/>
      <c r="E167" s="23"/>
      <c r="Y167" s="23"/>
      <c r="AS167" s="23"/>
      <c r="AU167" s="61"/>
    </row>
    <row r="168">
      <c r="B168" s="60">
        <v>128.0</v>
      </c>
      <c r="C168" s="23" t="s">
        <v>358</v>
      </c>
      <c r="D168" s="23"/>
      <c r="E168" s="23"/>
      <c r="Y168" s="23"/>
      <c r="AS168" s="23"/>
      <c r="AU168" s="61"/>
    </row>
    <row r="169">
      <c r="B169" s="60">
        <v>129.0</v>
      </c>
      <c r="C169" s="23" t="s">
        <v>359</v>
      </c>
      <c r="D169" s="23"/>
      <c r="E169" s="23"/>
      <c r="Y169" s="23"/>
      <c r="AS169" s="23"/>
      <c r="AU169" s="61"/>
    </row>
    <row r="170">
      <c r="B170" s="60">
        <v>130.0</v>
      </c>
      <c r="C170" s="23" t="s">
        <v>436</v>
      </c>
      <c r="D170" s="23"/>
      <c r="E170" s="23"/>
      <c r="Y170" s="23"/>
      <c r="AS170" s="23"/>
      <c r="AU170" s="61"/>
    </row>
    <row r="171">
      <c r="B171" s="60">
        <v>131.0</v>
      </c>
      <c r="C171" s="23" t="s">
        <v>546</v>
      </c>
      <c r="D171" s="23"/>
      <c r="E171" s="23"/>
      <c r="Y171" s="23"/>
      <c r="AS171" s="23"/>
      <c r="AU171" s="61"/>
    </row>
    <row r="172">
      <c r="B172" s="60">
        <v>132.0</v>
      </c>
      <c r="C172" s="23" t="s">
        <v>547</v>
      </c>
      <c r="D172" s="23"/>
      <c r="E172" s="23"/>
      <c r="Y172" s="23"/>
      <c r="AS172" s="23"/>
      <c r="AU172" s="61"/>
    </row>
    <row r="173">
      <c r="B173" s="60">
        <v>133.0</v>
      </c>
      <c r="C173" s="23" t="s">
        <v>548</v>
      </c>
      <c r="D173" s="23"/>
      <c r="E173" s="23"/>
      <c r="Y173" s="23"/>
      <c r="AS173" s="23"/>
      <c r="AU173" s="61"/>
    </row>
    <row r="174">
      <c r="B174" s="60">
        <v>134.0</v>
      </c>
      <c r="C174" s="23" t="s">
        <v>549</v>
      </c>
      <c r="D174" s="23"/>
      <c r="E174" s="23"/>
      <c r="Y174" s="23"/>
      <c r="AS174" s="23"/>
      <c r="AU174" s="61"/>
    </row>
    <row r="175">
      <c r="B175" s="60">
        <v>135.0</v>
      </c>
      <c r="C175" s="23" t="s">
        <v>550</v>
      </c>
      <c r="D175" s="23"/>
      <c r="E175" s="23"/>
      <c r="Y175" s="23"/>
      <c r="AS175" s="23"/>
      <c r="AU175" s="61"/>
    </row>
    <row r="176">
      <c r="B176" s="60">
        <v>136.0</v>
      </c>
      <c r="C176" s="23" t="s">
        <v>551</v>
      </c>
      <c r="D176" s="23"/>
      <c r="E176" s="23"/>
      <c r="Y176" s="23"/>
      <c r="AS176" s="23"/>
      <c r="AU176" s="61"/>
    </row>
    <row r="177">
      <c r="B177" s="60">
        <v>137.0</v>
      </c>
      <c r="C177" s="23" t="s">
        <v>364</v>
      </c>
      <c r="D177" s="23"/>
      <c r="E177" s="23"/>
      <c r="Y177" s="23"/>
      <c r="AS177" s="23"/>
      <c r="AU177" s="61"/>
    </row>
    <row r="178">
      <c r="B178" s="60">
        <v>138.0</v>
      </c>
      <c r="C178" s="23" t="s">
        <v>365</v>
      </c>
      <c r="D178" s="23"/>
      <c r="E178" s="23"/>
      <c r="Y178" s="23"/>
      <c r="AS178" s="23"/>
      <c r="AU178" s="61"/>
    </row>
    <row r="179">
      <c r="B179" s="60">
        <v>139.0</v>
      </c>
      <c r="C179" s="23" t="s">
        <v>552</v>
      </c>
      <c r="D179" s="23"/>
      <c r="E179" s="23"/>
      <c r="Y179" s="23"/>
      <c r="AS179" s="23"/>
      <c r="AU179" s="61"/>
    </row>
    <row r="180">
      <c r="B180" s="60">
        <v>140.0</v>
      </c>
      <c r="C180" s="23" t="s">
        <v>553</v>
      </c>
      <c r="D180" s="23"/>
      <c r="E180" s="23"/>
      <c r="Y180" s="23"/>
      <c r="AS180" s="23"/>
      <c r="AU180" s="61"/>
    </row>
    <row r="181">
      <c r="B181" s="60">
        <v>141.0</v>
      </c>
      <c r="C181" s="23" t="s">
        <v>554</v>
      </c>
      <c r="D181" s="23"/>
      <c r="E181" s="23"/>
      <c r="Y181" s="23"/>
      <c r="AS181" s="23"/>
      <c r="AU181" s="61"/>
    </row>
    <row r="182">
      <c r="B182" s="60">
        <v>142.0</v>
      </c>
      <c r="C182" s="68" t="s">
        <v>555</v>
      </c>
      <c r="D182" s="23"/>
      <c r="E182" s="23"/>
      <c r="Y182" s="23"/>
      <c r="AS182" s="23"/>
      <c r="AU182" s="61"/>
    </row>
    <row r="183">
      <c r="B183" s="60">
        <v>143.0</v>
      </c>
      <c r="C183" s="23" t="s">
        <v>371</v>
      </c>
      <c r="D183" s="23"/>
      <c r="E183" s="23"/>
      <c r="Y183" s="23"/>
      <c r="AS183" s="23"/>
      <c r="AU183" s="61"/>
    </row>
    <row r="184">
      <c r="B184" s="60">
        <v>144.0</v>
      </c>
      <c r="C184" s="23" t="s">
        <v>372</v>
      </c>
      <c r="D184" s="23"/>
      <c r="E184" s="23"/>
      <c r="Y184" s="23"/>
      <c r="AS184" s="23"/>
      <c r="AU184" s="61"/>
    </row>
    <row r="185">
      <c r="B185" s="60">
        <v>145.0</v>
      </c>
      <c r="C185" s="23" t="s">
        <v>556</v>
      </c>
      <c r="D185" s="23"/>
      <c r="E185" s="23"/>
      <c r="Y185" s="23"/>
      <c r="AS185" s="23"/>
      <c r="AU185" s="61"/>
    </row>
    <row r="186">
      <c r="B186" s="60">
        <v>146.0</v>
      </c>
      <c r="C186" s="23" t="s">
        <v>557</v>
      </c>
      <c r="D186" s="23"/>
      <c r="E186" s="23"/>
      <c r="Y186" s="23"/>
      <c r="AS186" s="23"/>
      <c r="AU186" s="61"/>
    </row>
    <row r="187">
      <c r="B187" s="60">
        <v>147.0</v>
      </c>
      <c r="C187" s="23" t="s">
        <v>374</v>
      </c>
      <c r="D187" s="23"/>
      <c r="E187" s="23"/>
      <c r="Y187" s="23"/>
      <c r="AS187" s="23"/>
      <c r="AU187" s="61"/>
    </row>
    <row r="188">
      <c r="B188" s="60">
        <v>148.0</v>
      </c>
      <c r="C188" s="23" t="s">
        <v>558</v>
      </c>
      <c r="D188" s="23"/>
      <c r="E188" s="23"/>
      <c r="Y188" s="23"/>
      <c r="AS188" s="23"/>
      <c r="AU188" s="61"/>
    </row>
    <row r="189">
      <c r="B189" s="60">
        <v>149.0</v>
      </c>
      <c r="C189" s="68" t="s">
        <v>377</v>
      </c>
      <c r="D189" s="23"/>
      <c r="E189" s="23"/>
      <c r="Y189" s="23"/>
      <c r="AS189" s="23"/>
      <c r="AU189" s="61"/>
    </row>
    <row r="190">
      <c r="B190" s="60">
        <v>150.0</v>
      </c>
      <c r="C190" s="68" t="s">
        <v>559</v>
      </c>
      <c r="D190" s="23"/>
      <c r="E190" s="23"/>
      <c r="Y190" s="23"/>
      <c r="AS190" s="23"/>
      <c r="AU190" s="61"/>
    </row>
    <row r="191">
      <c r="B191" s="60">
        <v>151.0</v>
      </c>
      <c r="C191" s="68" t="s">
        <v>379</v>
      </c>
      <c r="D191" s="23"/>
      <c r="E191" s="23"/>
      <c r="Y191" s="23"/>
      <c r="AS191" s="23"/>
      <c r="AU191" s="61"/>
    </row>
    <row r="192">
      <c r="B192" s="60">
        <v>152.0</v>
      </c>
      <c r="C192" s="23" t="s">
        <v>560</v>
      </c>
      <c r="D192" s="23"/>
      <c r="E192" s="23"/>
      <c r="Y192" s="23"/>
      <c r="AS192" s="23"/>
      <c r="AU192" s="61"/>
    </row>
    <row r="193">
      <c r="B193" s="60">
        <v>153.0</v>
      </c>
      <c r="C193" s="23" t="s">
        <v>561</v>
      </c>
      <c r="D193" s="23"/>
      <c r="E193" s="23"/>
      <c r="Y193" s="23"/>
      <c r="AS193" s="23"/>
      <c r="AU193" s="61"/>
    </row>
    <row r="194">
      <c r="B194" s="60">
        <v>154.0</v>
      </c>
      <c r="C194" s="23" t="s">
        <v>382</v>
      </c>
      <c r="D194" s="23"/>
      <c r="E194" s="23"/>
      <c r="Y194" s="23"/>
      <c r="AS194" s="23"/>
      <c r="AU194" s="61"/>
    </row>
    <row r="195">
      <c r="B195" s="60">
        <v>155.0</v>
      </c>
      <c r="C195" s="23" t="s">
        <v>562</v>
      </c>
      <c r="D195" s="23"/>
      <c r="E195" s="23"/>
      <c r="Y195" s="23"/>
      <c r="AS195" s="23"/>
      <c r="AU195" s="61"/>
    </row>
    <row r="196">
      <c r="B196" s="60">
        <v>156.0</v>
      </c>
      <c r="C196" s="23" t="s">
        <v>563</v>
      </c>
      <c r="D196" s="23"/>
      <c r="E196" s="23"/>
      <c r="Y196" s="23"/>
      <c r="AS196" s="23"/>
      <c r="AU196" s="61"/>
    </row>
    <row r="197">
      <c r="B197" s="60">
        <v>157.0</v>
      </c>
      <c r="C197" s="23" t="s">
        <v>564</v>
      </c>
      <c r="D197" s="23"/>
      <c r="E197" s="23"/>
      <c r="Y197" s="23"/>
      <c r="AS197" s="23"/>
      <c r="AU197" s="61"/>
    </row>
    <row r="198">
      <c r="B198" s="60">
        <v>158.0</v>
      </c>
      <c r="C198" s="23" t="s">
        <v>565</v>
      </c>
      <c r="D198" s="23"/>
      <c r="E198" s="23"/>
      <c r="Y198" s="23"/>
      <c r="AS198" s="23"/>
      <c r="AU198" s="61"/>
    </row>
    <row r="199">
      <c r="B199" s="60">
        <v>159.0</v>
      </c>
      <c r="C199" s="23" t="s">
        <v>387</v>
      </c>
      <c r="D199" s="23"/>
      <c r="E199" s="23"/>
      <c r="Y199" s="23"/>
      <c r="AS199" s="23"/>
      <c r="AU199" s="61"/>
    </row>
    <row r="200">
      <c r="B200" s="60">
        <v>160.0</v>
      </c>
      <c r="C200" s="23" t="s">
        <v>566</v>
      </c>
      <c r="D200" s="23"/>
      <c r="E200" s="23"/>
      <c r="Y200" s="23"/>
      <c r="AS200" s="23"/>
      <c r="AU200" s="61"/>
    </row>
    <row r="201">
      <c r="B201" s="60">
        <v>161.0</v>
      </c>
      <c r="C201" s="23" t="s">
        <v>567</v>
      </c>
      <c r="D201" s="23"/>
      <c r="E201" s="23"/>
      <c r="Y201" s="23"/>
      <c r="AS201" s="23"/>
      <c r="AU201" s="61"/>
    </row>
    <row r="202">
      <c r="B202" s="60">
        <v>162.0</v>
      </c>
      <c r="C202" s="23" t="s">
        <v>391</v>
      </c>
      <c r="D202" s="23"/>
      <c r="E202" s="23"/>
      <c r="Y202" s="23"/>
      <c r="AS202" s="23"/>
      <c r="AU202" s="61"/>
    </row>
    <row r="203">
      <c r="B203" s="60">
        <v>163.0</v>
      </c>
      <c r="C203" s="23" t="s">
        <v>392</v>
      </c>
      <c r="D203" s="23"/>
      <c r="E203" s="23"/>
      <c r="Y203" s="23"/>
      <c r="AS203" s="23"/>
      <c r="AU203" s="61"/>
    </row>
    <row r="204">
      <c r="B204" s="60">
        <v>164.0</v>
      </c>
      <c r="C204" s="23" t="s">
        <v>393</v>
      </c>
      <c r="D204" s="23"/>
      <c r="E204" s="23"/>
      <c r="Y204" s="23"/>
      <c r="AS204" s="23"/>
      <c r="AU204" s="61"/>
    </row>
    <row r="205">
      <c r="B205" s="60">
        <v>165.0</v>
      </c>
      <c r="C205" s="23" t="s">
        <v>568</v>
      </c>
      <c r="D205" s="23"/>
      <c r="E205" s="23"/>
      <c r="Y205" s="23"/>
      <c r="AS205" s="23"/>
      <c r="AU205" s="61"/>
    </row>
    <row r="206">
      <c r="B206" s="60">
        <v>166.0</v>
      </c>
      <c r="C206" s="23" t="s">
        <v>395</v>
      </c>
      <c r="D206" s="23"/>
      <c r="E206" s="23"/>
      <c r="Y206" s="23"/>
      <c r="AS206" s="23"/>
      <c r="AU206" s="61"/>
    </row>
    <row r="207">
      <c r="B207" s="60">
        <v>167.0</v>
      </c>
      <c r="C207" s="23" t="s">
        <v>396</v>
      </c>
      <c r="D207" s="23"/>
      <c r="E207" s="23"/>
      <c r="Y207" s="23"/>
      <c r="AS207" s="23"/>
      <c r="AU207" s="61"/>
    </row>
    <row r="208">
      <c r="B208" s="60">
        <v>168.0</v>
      </c>
      <c r="C208" s="23" t="s">
        <v>397</v>
      </c>
      <c r="D208" s="23"/>
      <c r="E208" s="23"/>
      <c r="Y208" s="23"/>
      <c r="AS208" s="23"/>
      <c r="AU208" s="61"/>
    </row>
    <row r="209">
      <c r="B209" s="60">
        <v>169.0</v>
      </c>
      <c r="C209" s="23" t="s">
        <v>398</v>
      </c>
      <c r="D209" s="23"/>
      <c r="E209" s="23"/>
      <c r="Y209" s="23"/>
      <c r="AS209" s="23"/>
      <c r="AU209" s="61"/>
    </row>
    <row r="210">
      <c r="B210" s="60">
        <v>170.0</v>
      </c>
      <c r="C210" s="23" t="s">
        <v>399</v>
      </c>
      <c r="D210" s="23"/>
      <c r="E210" s="23"/>
      <c r="Y210" s="23"/>
      <c r="AS210" s="23"/>
      <c r="AU210" s="61"/>
    </row>
    <row r="211">
      <c r="B211" s="60">
        <v>171.0</v>
      </c>
      <c r="C211" s="23" t="s">
        <v>400</v>
      </c>
      <c r="D211" s="23"/>
      <c r="E211" s="23"/>
      <c r="Y211" s="23"/>
      <c r="AS211" s="23"/>
      <c r="AU211" s="61"/>
    </row>
    <row r="212">
      <c r="B212" s="60">
        <v>172.0</v>
      </c>
      <c r="C212" s="23" t="s">
        <v>401</v>
      </c>
      <c r="D212" s="23"/>
      <c r="E212" s="23"/>
      <c r="Y212" s="23"/>
      <c r="AS212" s="23"/>
      <c r="AU212" s="61"/>
    </row>
    <row r="213">
      <c r="B213" s="60">
        <v>173.0</v>
      </c>
      <c r="C213" s="23" t="s">
        <v>402</v>
      </c>
      <c r="D213" s="23"/>
      <c r="E213" s="23"/>
      <c r="Y213" s="23"/>
      <c r="AS213" s="23"/>
      <c r="AU213" s="61"/>
    </row>
    <row r="214">
      <c r="B214" s="60">
        <v>174.0</v>
      </c>
      <c r="C214" s="23" t="s">
        <v>252</v>
      </c>
      <c r="D214" s="23"/>
      <c r="E214" s="23"/>
      <c r="Y214" s="23"/>
      <c r="AS214" s="23"/>
      <c r="AU214" s="61"/>
    </row>
    <row r="215">
      <c r="B215" s="60">
        <v>175.0</v>
      </c>
      <c r="C215" s="23" t="s">
        <v>403</v>
      </c>
      <c r="D215" s="23"/>
      <c r="E215" s="23"/>
      <c r="Y215" s="23"/>
      <c r="AS215" s="23"/>
      <c r="AU215" s="61"/>
    </row>
    <row r="216">
      <c r="B216" s="60">
        <v>176.0</v>
      </c>
      <c r="C216" s="23" t="s">
        <v>405</v>
      </c>
      <c r="D216" s="23"/>
      <c r="E216" s="23"/>
      <c r="Y216" s="23"/>
      <c r="AS216" s="23"/>
      <c r="AU216" s="61"/>
    </row>
    <row r="217">
      <c r="B217" s="60">
        <v>177.0</v>
      </c>
      <c r="C217" s="23" t="s">
        <v>404</v>
      </c>
      <c r="D217" s="23"/>
      <c r="E217" s="23"/>
      <c r="Y217" s="23"/>
      <c r="AS217" s="23"/>
      <c r="AU217" s="61"/>
    </row>
    <row r="218">
      <c r="B218" s="60">
        <v>178.0</v>
      </c>
      <c r="C218" s="23" t="s">
        <v>406</v>
      </c>
      <c r="D218" s="23"/>
      <c r="E218" s="23"/>
      <c r="Y218" s="23"/>
      <c r="AS218" s="23"/>
      <c r="AU218" s="61"/>
    </row>
    <row r="219">
      <c r="B219" s="60">
        <v>179.0</v>
      </c>
      <c r="C219" s="23" t="s">
        <v>435</v>
      </c>
      <c r="D219" s="23"/>
      <c r="E219" s="23"/>
      <c r="Y219" s="23"/>
      <c r="AS219" s="23"/>
      <c r="AU219" s="61"/>
    </row>
    <row r="220">
      <c r="B220" s="60">
        <v>180.0</v>
      </c>
      <c r="C220" s="23" t="s">
        <v>433</v>
      </c>
      <c r="D220" s="23"/>
      <c r="E220" s="23"/>
      <c r="Y220" s="23"/>
      <c r="AS220" s="23"/>
      <c r="AU220" s="61"/>
    </row>
    <row r="221">
      <c r="B221" s="60">
        <v>181.0</v>
      </c>
      <c r="C221" s="68" t="s">
        <v>569</v>
      </c>
      <c r="D221" s="23"/>
      <c r="E221" s="23"/>
      <c r="Y221" s="23"/>
      <c r="AS221" s="23"/>
      <c r="AU221" s="61"/>
    </row>
    <row r="222">
      <c r="B222" s="60">
        <v>182.0</v>
      </c>
      <c r="C222" s="68" t="s">
        <v>570</v>
      </c>
      <c r="D222" s="23"/>
      <c r="E222" s="23"/>
      <c r="Y222" s="23"/>
      <c r="AS222" s="23"/>
      <c r="AU222" s="61"/>
    </row>
    <row r="223">
      <c r="B223" s="60">
        <v>183.0</v>
      </c>
      <c r="C223" s="23" t="s">
        <v>571</v>
      </c>
      <c r="D223" s="23"/>
      <c r="E223" s="23"/>
      <c r="Y223" s="23"/>
      <c r="AS223" s="23"/>
      <c r="AU223" s="61"/>
    </row>
    <row r="224">
      <c r="B224" s="60">
        <v>184.0</v>
      </c>
      <c r="C224" s="23" t="s">
        <v>572</v>
      </c>
      <c r="D224" s="23"/>
      <c r="E224" s="23"/>
      <c r="Y224" s="23"/>
      <c r="AS224" s="23"/>
      <c r="AU224" s="61"/>
    </row>
    <row r="225">
      <c r="B225" s="60">
        <v>185.0</v>
      </c>
      <c r="C225" s="23" t="s">
        <v>573</v>
      </c>
      <c r="D225" s="23"/>
      <c r="E225" s="23"/>
      <c r="Y225" s="23"/>
      <c r="AS225" s="23"/>
      <c r="AU225" s="61"/>
    </row>
    <row r="226">
      <c r="B226" s="60">
        <v>186.0</v>
      </c>
      <c r="C226" s="23" t="s">
        <v>574</v>
      </c>
      <c r="D226" s="23"/>
      <c r="E226" s="23"/>
      <c r="Y226" s="23"/>
      <c r="AS226" s="23"/>
      <c r="AU226" s="61"/>
    </row>
    <row r="227">
      <c r="B227" s="60">
        <v>187.0</v>
      </c>
      <c r="C227" s="23" t="s">
        <v>575</v>
      </c>
      <c r="D227" s="23"/>
      <c r="E227" s="23"/>
      <c r="Y227" s="23"/>
      <c r="AS227" s="23"/>
      <c r="AU227" s="61"/>
    </row>
    <row r="228">
      <c r="B228" s="60">
        <v>188.0</v>
      </c>
      <c r="C228" s="23" t="s">
        <v>420</v>
      </c>
      <c r="D228" s="23"/>
      <c r="E228" s="23"/>
      <c r="Y228" s="23"/>
      <c r="AS228" s="23"/>
      <c r="AU228" s="61"/>
    </row>
    <row r="229">
      <c r="B229" s="60">
        <v>189.0</v>
      </c>
      <c r="C229" s="23" t="s">
        <v>418</v>
      </c>
      <c r="D229" s="23"/>
      <c r="E229" s="23"/>
      <c r="Y229" s="23"/>
      <c r="AS229" s="23"/>
      <c r="AU229" s="61"/>
    </row>
    <row r="230">
      <c r="B230" s="60">
        <v>190.0</v>
      </c>
      <c r="C230" s="23" t="s">
        <v>419</v>
      </c>
      <c r="D230" s="23"/>
      <c r="E230" s="23"/>
      <c r="Y230" s="23"/>
      <c r="AS230" s="23"/>
      <c r="AU230" s="61"/>
    </row>
    <row r="231">
      <c r="B231" s="60">
        <v>191.0</v>
      </c>
      <c r="C231" s="23" t="s">
        <v>417</v>
      </c>
      <c r="D231" s="23"/>
      <c r="E231" s="23"/>
      <c r="Y231" s="23"/>
      <c r="AS231" s="23"/>
      <c r="AU231" s="61"/>
    </row>
    <row r="232">
      <c r="B232" s="60">
        <v>192.0</v>
      </c>
      <c r="C232" s="23" t="s">
        <v>416</v>
      </c>
      <c r="D232" s="23"/>
      <c r="E232" s="23"/>
      <c r="Y232" s="23"/>
      <c r="AS232" s="23"/>
      <c r="AU232" s="61"/>
    </row>
    <row r="233">
      <c r="B233" s="60">
        <v>193.0</v>
      </c>
      <c r="C233" s="23" t="s">
        <v>415</v>
      </c>
      <c r="D233" s="23"/>
      <c r="E233" s="23"/>
      <c r="Y233" s="23"/>
      <c r="AS233" s="23"/>
      <c r="AU233" s="61"/>
    </row>
    <row r="234">
      <c r="B234" s="60">
        <v>194.0</v>
      </c>
      <c r="C234" s="23" t="s">
        <v>576</v>
      </c>
      <c r="D234" s="23"/>
      <c r="E234" s="23"/>
      <c r="Y234" s="23"/>
      <c r="AS234" s="23"/>
      <c r="AU234" s="61"/>
    </row>
    <row r="235">
      <c r="B235" s="60">
        <v>195.0</v>
      </c>
      <c r="C235" s="23" t="s">
        <v>577</v>
      </c>
      <c r="D235" s="23"/>
      <c r="E235" s="23"/>
      <c r="Y235" s="23"/>
      <c r="AS235" s="23"/>
      <c r="AU235" s="61"/>
    </row>
    <row r="236">
      <c r="B236" s="60">
        <v>196.0</v>
      </c>
      <c r="C236" s="23" t="s">
        <v>578</v>
      </c>
      <c r="D236" s="23"/>
      <c r="E236" s="23"/>
      <c r="Y236" s="23"/>
      <c r="AS236" s="23"/>
      <c r="AU236" s="61"/>
    </row>
    <row r="237">
      <c r="B237" s="60">
        <v>197.0</v>
      </c>
      <c r="C237" s="23" t="s">
        <v>579</v>
      </c>
      <c r="D237" s="23"/>
      <c r="E237" s="23"/>
      <c r="Y237" s="23"/>
      <c r="AS237" s="23"/>
      <c r="AU237" s="61"/>
    </row>
    <row r="238">
      <c r="B238" s="60">
        <v>198.0</v>
      </c>
      <c r="C238" s="23" t="s">
        <v>412</v>
      </c>
      <c r="D238" s="23"/>
      <c r="E238" s="23"/>
      <c r="Y238" s="23"/>
      <c r="AS238" s="23"/>
      <c r="AU238" s="61"/>
    </row>
    <row r="239">
      <c r="B239" s="60">
        <v>199.0</v>
      </c>
      <c r="C239" s="23" t="s">
        <v>413</v>
      </c>
      <c r="D239" s="23"/>
      <c r="E239" s="23"/>
      <c r="Y239" s="23"/>
      <c r="AS239" s="23"/>
      <c r="AU239" s="61"/>
    </row>
    <row r="240">
      <c r="B240" s="60">
        <v>200.0</v>
      </c>
      <c r="C240" s="23" t="s">
        <v>414</v>
      </c>
      <c r="D240" s="23"/>
      <c r="E240" s="23"/>
      <c r="Y240" s="23"/>
      <c r="AS240" s="23"/>
      <c r="AU240" s="61"/>
    </row>
    <row r="241">
      <c r="B241" s="60">
        <v>201.0</v>
      </c>
      <c r="C241" s="23" t="s">
        <v>445</v>
      </c>
      <c r="D241" s="23"/>
      <c r="E241" s="23"/>
      <c r="Y241" s="23"/>
      <c r="AS241" s="23"/>
      <c r="AU241" s="61"/>
    </row>
    <row r="242">
      <c r="B242" s="60">
        <v>202.0</v>
      </c>
      <c r="C242" s="23" t="s">
        <v>580</v>
      </c>
      <c r="D242" s="23"/>
      <c r="E242" s="23"/>
      <c r="Y242" s="23"/>
      <c r="AS242" s="23"/>
      <c r="AU242" s="61"/>
    </row>
    <row r="243">
      <c r="B243" s="60">
        <v>203.0</v>
      </c>
      <c r="C243" s="23" t="s">
        <v>444</v>
      </c>
      <c r="D243" s="23"/>
      <c r="E243" s="23"/>
      <c r="Y243" s="23"/>
      <c r="AS243" s="23"/>
      <c r="AU243" s="61"/>
    </row>
    <row r="244">
      <c r="B244" s="60">
        <v>204.0</v>
      </c>
      <c r="C244" s="23" t="s">
        <v>443</v>
      </c>
      <c r="D244" s="23"/>
      <c r="E244" s="23"/>
      <c r="Y244" s="23"/>
      <c r="AS244" s="23"/>
      <c r="AU244" s="61"/>
    </row>
    <row r="245">
      <c r="B245" s="60">
        <v>205.0</v>
      </c>
      <c r="C245" s="23" t="s">
        <v>442</v>
      </c>
      <c r="D245" s="23"/>
      <c r="E245" s="23"/>
      <c r="Y245" s="23"/>
      <c r="AS245" s="23"/>
      <c r="AU245" s="61"/>
    </row>
    <row r="246">
      <c r="B246" s="60">
        <v>206.0</v>
      </c>
      <c r="C246" s="23" t="s">
        <v>440</v>
      </c>
      <c r="D246" s="23"/>
      <c r="E246" s="23"/>
      <c r="Y246" s="23"/>
      <c r="AS246" s="23"/>
      <c r="AU246" s="61"/>
    </row>
    <row r="247">
      <c r="B247" s="60">
        <v>207.0</v>
      </c>
      <c r="C247" s="23" t="s">
        <v>581</v>
      </c>
      <c r="D247" s="23"/>
      <c r="E247" s="23"/>
      <c r="Y247" s="23"/>
      <c r="AS247" s="23"/>
      <c r="AU247" s="61"/>
    </row>
    <row r="248">
      <c r="B248" s="60">
        <v>208.0</v>
      </c>
      <c r="C248" s="23" t="s">
        <v>581</v>
      </c>
      <c r="D248" s="23"/>
      <c r="E248" s="23"/>
      <c r="Y248" s="23"/>
      <c r="AS248" s="23"/>
      <c r="AU248" s="61"/>
    </row>
    <row r="249">
      <c r="B249" s="60">
        <v>209.0</v>
      </c>
      <c r="C249" s="23" t="s">
        <v>581</v>
      </c>
      <c r="D249" s="23"/>
      <c r="E249" s="23"/>
      <c r="Y249" s="23"/>
      <c r="AS249" s="23"/>
      <c r="AU249" s="61"/>
    </row>
    <row r="250">
      <c r="B250" s="60">
        <v>210.0</v>
      </c>
      <c r="C250" s="23" t="s">
        <v>581</v>
      </c>
      <c r="D250" s="23"/>
      <c r="E250" s="23"/>
      <c r="Y250" s="23"/>
      <c r="AS250" s="23"/>
      <c r="AU250" s="61"/>
    </row>
    <row r="251">
      <c r="B251" s="60">
        <v>211.0</v>
      </c>
      <c r="C251" s="23" t="s">
        <v>581</v>
      </c>
      <c r="D251" s="23"/>
      <c r="E251" s="23"/>
      <c r="Y251" s="23"/>
      <c r="AS251" s="23"/>
      <c r="AU251" s="61"/>
    </row>
    <row r="252">
      <c r="B252" s="60">
        <v>212.0</v>
      </c>
      <c r="C252" s="23" t="s">
        <v>581</v>
      </c>
      <c r="D252" s="23"/>
      <c r="E252" s="23"/>
      <c r="Y252" s="23"/>
      <c r="AS252" s="23"/>
      <c r="AU252" s="61"/>
    </row>
    <row r="253">
      <c r="B253" s="60">
        <v>213.0</v>
      </c>
      <c r="C253" s="23" t="s">
        <v>581</v>
      </c>
      <c r="D253" s="23"/>
      <c r="E253" s="23"/>
      <c r="Y253" s="23"/>
      <c r="AS253" s="23"/>
      <c r="AU253" s="61"/>
    </row>
    <row r="254">
      <c r="B254" s="60">
        <v>214.0</v>
      </c>
      <c r="C254" s="23" t="s">
        <v>581</v>
      </c>
      <c r="D254" s="23"/>
      <c r="E254" s="23"/>
      <c r="Y254" s="23"/>
      <c r="AS254" s="23"/>
      <c r="AU254" s="61"/>
    </row>
    <row r="255">
      <c r="B255" s="60">
        <v>215.0</v>
      </c>
      <c r="C255" s="23" t="s">
        <v>581</v>
      </c>
      <c r="D255" s="23"/>
      <c r="E255" s="23"/>
      <c r="Y255" s="23"/>
      <c r="AS255" s="23"/>
      <c r="AU255" s="61"/>
    </row>
    <row r="256">
      <c r="B256" s="60">
        <v>216.0</v>
      </c>
      <c r="C256" s="23" t="s">
        <v>581</v>
      </c>
      <c r="D256" s="23"/>
      <c r="E256" s="23"/>
      <c r="Y256" s="23"/>
      <c r="AS256" s="23"/>
      <c r="AU256" s="61"/>
    </row>
    <row r="257">
      <c r="B257" s="60">
        <v>217.0</v>
      </c>
      <c r="C257" s="23" t="s">
        <v>581</v>
      </c>
      <c r="D257" s="23"/>
      <c r="E257" s="23"/>
      <c r="Y257" s="23"/>
      <c r="AS257" s="23"/>
      <c r="AU257" s="61"/>
    </row>
    <row r="258">
      <c r="B258" s="60">
        <v>218.0</v>
      </c>
      <c r="C258" s="23" t="s">
        <v>581</v>
      </c>
      <c r="D258" s="23"/>
      <c r="E258" s="23"/>
      <c r="Y258" s="23"/>
      <c r="AS258" s="23"/>
      <c r="AU258" s="61"/>
    </row>
    <row r="259">
      <c r="B259" s="60">
        <v>219.0</v>
      </c>
      <c r="C259" s="23" t="s">
        <v>581</v>
      </c>
      <c r="D259" s="23"/>
      <c r="E259" s="23"/>
      <c r="Y259" s="23"/>
      <c r="AS259" s="23"/>
      <c r="AU259" s="61"/>
    </row>
    <row r="260">
      <c r="B260" s="60">
        <v>220.0</v>
      </c>
      <c r="C260" s="23" t="s">
        <v>581</v>
      </c>
      <c r="D260" s="23"/>
      <c r="E260" s="23"/>
      <c r="Y260" s="23"/>
      <c r="AS260" s="23"/>
      <c r="AU260" s="61"/>
    </row>
    <row r="261">
      <c r="B261" s="60">
        <v>221.0</v>
      </c>
      <c r="C261" s="23" t="s">
        <v>581</v>
      </c>
      <c r="D261" s="23"/>
      <c r="E261" s="23"/>
      <c r="Y261" s="23"/>
      <c r="AS261" s="23"/>
      <c r="AU261" s="61"/>
    </row>
    <row r="262">
      <c r="B262" s="60">
        <v>222.0</v>
      </c>
      <c r="C262" s="23" t="s">
        <v>581</v>
      </c>
      <c r="D262" s="23"/>
      <c r="E262" s="23"/>
      <c r="Y262" s="23"/>
      <c r="AS262" s="23"/>
      <c r="AU262" s="61"/>
    </row>
    <row r="263">
      <c r="B263" s="60">
        <v>223.0</v>
      </c>
      <c r="C263" s="23" t="s">
        <v>581</v>
      </c>
      <c r="D263" s="23"/>
      <c r="E263" s="23"/>
      <c r="Y263" s="23"/>
      <c r="AS263" s="23"/>
      <c r="AU263" s="61"/>
    </row>
    <row r="264">
      <c r="B264" s="60">
        <v>224.0</v>
      </c>
      <c r="C264" s="23" t="s">
        <v>581</v>
      </c>
      <c r="D264" s="23"/>
      <c r="E264" s="23"/>
      <c r="Y264" s="23"/>
      <c r="AS264" s="23"/>
      <c r="AU264" s="61"/>
    </row>
    <row r="265">
      <c r="B265" s="60">
        <v>225.0</v>
      </c>
      <c r="C265" s="23" t="s">
        <v>581</v>
      </c>
      <c r="D265" s="23"/>
      <c r="E265" s="23"/>
      <c r="Y265" s="23"/>
      <c r="AS265" s="23"/>
      <c r="AU265" s="61"/>
    </row>
    <row r="266">
      <c r="B266" s="60">
        <v>226.0</v>
      </c>
      <c r="C266" s="23" t="s">
        <v>581</v>
      </c>
      <c r="D266" s="23"/>
      <c r="E266" s="23"/>
      <c r="Y266" s="23"/>
      <c r="AS266" s="23"/>
      <c r="AU266" s="61"/>
    </row>
    <row r="267">
      <c r="B267" s="60">
        <v>227.0</v>
      </c>
      <c r="C267" s="23" t="s">
        <v>581</v>
      </c>
      <c r="D267" s="23"/>
      <c r="E267" s="23"/>
      <c r="Y267" s="23"/>
      <c r="AS267" s="23"/>
      <c r="AU267" s="61"/>
    </row>
    <row r="268">
      <c r="B268" s="60">
        <v>228.0</v>
      </c>
      <c r="C268" s="23" t="s">
        <v>581</v>
      </c>
      <c r="D268" s="23"/>
      <c r="E268" s="23"/>
      <c r="Y268" s="23"/>
      <c r="AS268" s="23"/>
      <c r="AU268" s="61"/>
    </row>
    <row r="269">
      <c r="B269" s="60">
        <v>229.0</v>
      </c>
      <c r="C269" s="23" t="s">
        <v>581</v>
      </c>
      <c r="D269" s="23"/>
      <c r="E269" s="23"/>
      <c r="Y269" s="23"/>
      <c r="AS269" s="23"/>
      <c r="AU269" s="61"/>
    </row>
    <row r="270">
      <c r="B270" s="60">
        <v>230.0</v>
      </c>
      <c r="C270" s="23" t="s">
        <v>581</v>
      </c>
      <c r="D270" s="23"/>
      <c r="E270" s="23"/>
      <c r="Y270" s="23"/>
      <c r="AS270" s="23"/>
      <c r="AU270" s="61"/>
    </row>
    <row r="271">
      <c r="B271" s="60">
        <v>231.0</v>
      </c>
      <c r="C271" s="23" t="s">
        <v>581</v>
      </c>
      <c r="D271" s="23"/>
      <c r="E271" s="23"/>
      <c r="Y271" s="23"/>
      <c r="AS271" s="23"/>
      <c r="AU271" s="61"/>
    </row>
    <row r="272">
      <c r="B272" s="60">
        <v>232.0</v>
      </c>
      <c r="C272" s="23" t="s">
        <v>581</v>
      </c>
      <c r="D272" s="23"/>
      <c r="E272" s="23"/>
      <c r="Y272" s="23"/>
      <c r="AS272" s="23"/>
      <c r="AU272" s="61"/>
    </row>
    <row r="273">
      <c r="B273" s="60">
        <v>233.0</v>
      </c>
      <c r="C273" s="23" t="s">
        <v>581</v>
      </c>
      <c r="D273" s="23"/>
      <c r="E273" s="23"/>
      <c r="Y273" s="23"/>
      <c r="AS273" s="23"/>
      <c r="AU273" s="61"/>
    </row>
    <row r="274">
      <c r="B274" s="60">
        <v>234.0</v>
      </c>
      <c r="C274" s="23" t="s">
        <v>581</v>
      </c>
      <c r="D274" s="23"/>
      <c r="E274" s="23"/>
      <c r="Y274" s="23"/>
      <c r="AS274" s="23"/>
      <c r="AU274" s="61"/>
    </row>
    <row r="275">
      <c r="B275" s="60">
        <v>235.0</v>
      </c>
      <c r="C275" s="23" t="s">
        <v>581</v>
      </c>
      <c r="D275" s="23"/>
      <c r="E275" s="23"/>
      <c r="Y275" s="23"/>
      <c r="AS275" s="23"/>
      <c r="AU275" s="61"/>
    </row>
    <row r="276">
      <c r="B276" s="60">
        <v>236.0</v>
      </c>
      <c r="C276" s="23" t="s">
        <v>581</v>
      </c>
      <c r="D276" s="23"/>
      <c r="E276" s="23"/>
      <c r="Y276" s="23"/>
      <c r="AS276" s="23"/>
      <c r="AU276" s="61"/>
    </row>
    <row r="277">
      <c r="B277" s="60">
        <v>237.0</v>
      </c>
      <c r="C277" s="23" t="s">
        <v>581</v>
      </c>
      <c r="D277" s="23"/>
      <c r="E277" s="23"/>
      <c r="Y277" s="23"/>
      <c r="AS277" s="23"/>
      <c r="AU277" s="61"/>
    </row>
    <row r="278">
      <c r="B278" s="60">
        <v>238.0</v>
      </c>
      <c r="C278" s="23" t="s">
        <v>581</v>
      </c>
      <c r="D278" s="23"/>
      <c r="E278" s="23"/>
      <c r="Y278" s="23"/>
      <c r="AS278" s="23"/>
      <c r="AU278" s="61"/>
    </row>
    <row r="279">
      <c r="B279" s="60">
        <v>239.0</v>
      </c>
      <c r="C279" s="23" t="s">
        <v>581</v>
      </c>
      <c r="D279" s="23"/>
      <c r="E279" s="23"/>
      <c r="Y279" s="23"/>
      <c r="AS279" s="23"/>
      <c r="AU279" s="61"/>
    </row>
    <row r="280">
      <c r="B280" s="60">
        <v>240.0</v>
      </c>
      <c r="C280" s="23" t="s">
        <v>581</v>
      </c>
      <c r="D280" s="23"/>
      <c r="E280" s="23"/>
      <c r="Y280" s="23"/>
      <c r="AS280" s="23"/>
      <c r="AU280" s="61"/>
    </row>
    <row r="281">
      <c r="B281" s="60">
        <v>241.0</v>
      </c>
      <c r="C281" s="23" t="s">
        <v>581</v>
      </c>
      <c r="D281" s="23"/>
      <c r="E281" s="23"/>
      <c r="Y281" s="23"/>
      <c r="AS281" s="23"/>
      <c r="AU281" s="61"/>
    </row>
    <row r="282">
      <c r="B282" s="60">
        <v>242.0</v>
      </c>
      <c r="C282" s="23" t="s">
        <v>581</v>
      </c>
      <c r="D282" s="23"/>
      <c r="E282" s="23"/>
      <c r="Y282" s="23"/>
      <c r="AS282" s="23"/>
      <c r="AU282" s="61"/>
    </row>
    <row r="283">
      <c r="B283" s="60">
        <v>243.0</v>
      </c>
      <c r="C283" s="23" t="s">
        <v>581</v>
      </c>
      <c r="D283" s="23"/>
      <c r="E283" s="23"/>
      <c r="Y283" s="23"/>
      <c r="AS283" s="23"/>
      <c r="AU283" s="61"/>
    </row>
    <row r="284">
      <c r="B284" s="60">
        <v>244.0</v>
      </c>
      <c r="C284" s="23" t="s">
        <v>581</v>
      </c>
      <c r="D284" s="23"/>
      <c r="E284" s="23"/>
      <c r="Y284" s="23"/>
      <c r="AS284" s="23"/>
      <c r="AU284" s="61"/>
    </row>
    <row r="285">
      <c r="B285" s="60">
        <v>245.0</v>
      </c>
      <c r="C285" s="23" t="s">
        <v>581</v>
      </c>
      <c r="D285" s="23"/>
      <c r="E285" s="23"/>
      <c r="Y285" s="23"/>
      <c r="AS285" s="23"/>
      <c r="AU285" s="61"/>
    </row>
    <row r="286">
      <c r="B286" s="60">
        <v>246.0</v>
      </c>
      <c r="C286" s="23" t="s">
        <v>581</v>
      </c>
      <c r="D286" s="23"/>
      <c r="E286" s="23"/>
      <c r="Y286" s="23"/>
      <c r="AS286" s="23"/>
      <c r="AU286" s="61"/>
    </row>
    <row r="287">
      <c r="B287" s="60">
        <v>247.0</v>
      </c>
      <c r="C287" s="23" t="s">
        <v>581</v>
      </c>
      <c r="D287" s="23"/>
      <c r="E287" s="23"/>
      <c r="Y287" s="23"/>
      <c r="AS287" s="23"/>
      <c r="AU287" s="61"/>
    </row>
    <row r="288">
      <c r="B288" s="60">
        <v>248.0</v>
      </c>
      <c r="C288" s="23" t="s">
        <v>581</v>
      </c>
      <c r="D288" s="23"/>
      <c r="E288" s="23"/>
      <c r="Y288" s="23"/>
      <c r="AS288" s="23"/>
      <c r="AU288" s="61"/>
    </row>
    <row r="289">
      <c r="B289" s="60">
        <v>249.0</v>
      </c>
      <c r="C289" s="23" t="s">
        <v>581</v>
      </c>
      <c r="D289" s="23"/>
      <c r="E289" s="23"/>
      <c r="Y289" s="23"/>
      <c r="AS289" s="23"/>
      <c r="AU289" s="61"/>
    </row>
    <row r="290">
      <c r="B290" s="60">
        <v>250.0</v>
      </c>
      <c r="C290" s="23" t="s">
        <v>581</v>
      </c>
      <c r="D290" s="23"/>
      <c r="E290" s="23"/>
      <c r="Y290" s="23"/>
      <c r="AS290" s="23"/>
      <c r="AU290" s="61"/>
    </row>
    <row r="291">
      <c r="B291" s="60">
        <v>251.0</v>
      </c>
      <c r="C291" s="23" t="s">
        <v>581</v>
      </c>
      <c r="D291" s="23"/>
      <c r="E291" s="23"/>
      <c r="Y291" s="23"/>
      <c r="AS291" s="23"/>
      <c r="AU291" s="61"/>
    </row>
    <row r="292">
      <c r="B292" s="60">
        <v>252.0</v>
      </c>
      <c r="C292" s="23" t="s">
        <v>581</v>
      </c>
      <c r="D292" s="23"/>
      <c r="E292" s="23"/>
      <c r="Y292" s="23"/>
      <c r="AS292" s="23"/>
      <c r="AU292" s="61"/>
    </row>
    <row r="293">
      <c r="B293" s="60">
        <v>253.0</v>
      </c>
      <c r="C293" s="23" t="s">
        <v>581</v>
      </c>
      <c r="D293" s="23"/>
      <c r="E293" s="23"/>
      <c r="Y293" s="23"/>
      <c r="AS293" s="23"/>
      <c r="AU293" s="61"/>
    </row>
    <row r="294">
      <c r="B294" s="60">
        <v>254.0</v>
      </c>
      <c r="C294" s="23" t="s">
        <v>581</v>
      </c>
      <c r="D294" s="23"/>
      <c r="E294" s="23"/>
      <c r="Y294" s="23"/>
      <c r="AS294" s="23"/>
      <c r="AU294" s="61"/>
    </row>
    <row r="295">
      <c r="B295" s="60">
        <v>255.0</v>
      </c>
      <c r="C295" s="23" t="s">
        <v>581</v>
      </c>
      <c r="D295" s="23"/>
      <c r="E295" s="23"/>
      <c r="Y295" s="23"/>
      <c r="AS295" s="23"/>
      <c r="AU295" s="61"/>
    </row>
    <row r="296">
      <c r="B296" s="60">
        <v>256.0</v>
      </c>
      <c r="C296" s="23" t="s">
        <v>581</v>
      </c>
      <c r="D296" s="23"/>
      <c r="E296" s="23"/>
      <c r="Y296" s="23"/>
      <c r="AS296" s="23"/>
      <c r="AU296" s="61"/>
    </row>
    <row r="297">
      <c r="B297" s="60">
        <v>257.0</v>
      </c>
      <c r="C297" s="23" t="s">
        <v>581</v>
      </c>
      <c r="D297" s="23"/>
      <c r="E297" s="23"/>
      <c r="Y297" s="23"/>
      <c r="AS297" s="23"/>
      <c r="AU297" s="61"/>
    </row>
    <row r="298">
      <c r="B298" s="60">
        <v>258.0</v>
      </c>
      <c r="C298" s="23" t="s">
        <v>581</v>
      </c>
      <c r="D298" s="23"/>
      <c r="E298" s="23"/>
      <c r="Y298" s="23"/>
      <c r="AS298" s="23"/>
      <c r="AU298" s="61"/>
    </row>
    <row r="299">
      <c r="B299" s="60">
        <v>259.0</v>
      </c>
      <c r="C299" s="71" t="s">
        <v>581</v>
      </c>
      <c r="D299" s="71"/>
      <c r="E299" s="71"/>
      <c r="F299" s="72"/>
      <c r="G299" s="72"/>
      <c r="H299" s="72"/>
      <c r="I299" s="72"/>
      <c r="J299" s="72"/>
      <c r="K299" s="72"/>
      <c r="L299" s="72"/>
      <c r="M299" s="72"/>
      <c r="N299" s="72"/>
      <c r="O299" s="72"/>
      <c r="P299" s="72"/>
      <c r="Q299" s="72"/>
      <c r="R299" s="72"/>
      <c r="S299" s="72"/>
      <c r="T299" s="72"/>
      <c r="U299" s="72"/>
      <c r="V299" s="72"/>
      <c r="W299" s="72"/>
      <c r="X299" s="72"/>
      <c r="Y299" s="71"/>
      <c r="Z299" s="72"/>
      <c r="AA299" s="72"/>
      <c r="AB299" s="72"/>
      <c r="AC299" s="72"/>
      <c r="AD299" s="72"/>
      <c r="AE299" s="72"/>
      <c r="AF299" s="72"/>
      <c r="AG299" s="72"/>
      <c r="AH299" s="72"/>
      <c r="AI299" s="72"/>
      <c r="AJ299" s="72"/>
      <c r="AK299" s="72"/>
      <c r="AL299" s="72"/>
      <c r="AM299" s="72"/>
      <c r="AN299" s="72"/>
      <c r="AO299" s="72"/>
      <c r="AP299" s="72"/>
      <c r="AQ299" s="72"/>
      <c r="AR299" s="72"/>
      <c r="AS299" s="71"/>
      <c r="AT299" s="72"/>
      <c r="AU299" s="73"/>
    </row>
    <row r="302">
      <c r="Z302" s="16">
        <v>5.0</v>
      </c>
      <c r="AA302" s="16">
        <v>0.0</v>
      </c>
      <c r="AB302" s="16">
        <v>1.0</v>
      </c>
      <c r="AC302" s="16">
        <v>1.0</v>
      </c>
      <c r="AD302" s="16">
        <v>24.0</v>
      </c>
      <c r="AE302" s="16">
        <v>23.0</v>
      </c>
      <c r="AF302" s="16">
        <v>8.0</v>
      </c>
      <c r="AG302" s="16">
        <v>0.0</v>
      </c>
      <c r="AH302" s="16">
        <v>10.0</v>
      </c>
      <c r="AI302" s="16">
        <v>12.0</v>
      </c>
      <c r="AJ302" s="16">
        <v>4.0</v>
      </c>
      <c r="AK302" s="16">
        <v>12.0</v>
      </c>
      <c r="AL302" s="16">
        <v>10.0</v>
      </c>
      <c r="AM302" s="16">
        <v>13.0</v>
      </c>
      <c r="AN302" s="16">
        <v>3.0</v>
      </c>
      <c r="AO302" s="16">
        <v>14.0</v>
      </c>
      <c r="AP302" s="16">
        <v>20.0</v>
      </c>
      <c r="AQ302" s="16">
        <v>25.0</v>
      </c>
      <c r="AR302" s="16">
        <v>31.0</v>
      </c>
      <c r="AS302" s="23">
        <v>29.0</v>
      </c>
    </row>
  </sheetData>
  <mergeCells count="10">
    <mergeCell ref="F38:Y38"/>
    <mergeCell ref="Z38:AS38"/>
    <mergeCell ref="AT38:AU39"/>
    <mergeCell ref="B4:B6"/>
    <mergeCell ref="C4:M34"/>
    <mergeCell ref="P4:Q6"/>
    <mergeCell ref="R4:AB34"/>
    <mergeCell ref="AE4:AF6"/>
    <mergeCell ref="AG4:AQ34"/>
    <mergeCell ref="B38:B3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30.88"/>
    <col customWidth="1" min="4" max="35" width="7.63"/>
  </cols>
  <sheetData>
    <row r="4">
      <c r="B4" s="37" t="s">
        <v>447</v>
      </c>
      <c r="C4" s="38" t="str">
        <f>IFERROR(__xludf.DUMMYFUNCTION("JOIN("""", TOROW(MAP({D40:AI86}, LAMBDA(cell, IF(ISBLANK(cell), DEC2HEX(65535), CONCATENATE(RIGHT(DEC2HEX(cell, 4), 2), LEFT(DEC2HEX(cell, 4), 2))   ) ))))                "),"4A00FFFFFFFFFFFFFFFFFFFFFFFFFFFFFFFFFFFFFFFFFFFFFFFFFFFFFFFFFFFF4B00FFFFFFFFFFFFFFFFFFFFFFFFFFFFFFFFFFFFFFFFFFFFFFFFFFFFFFFFFFFF4C004D004E004F00FFFFFFFFFFFFFFFFFFFFFFFFFFFFFFFFFFFFFFFFFFFFFFFF5000510052005300FFFFFFFFFFFFFFFFFFFFFFFFFFFFFFFFFFFFFFFFFFFFFFF"&amp;"F5400FFFFFFFFFFFFFFFFFFFFFFFFFFFFFFFFFFFFFFFFFFFFFFFFFFFFFFFFFFFF5500FFFFFFFFFFFFFFFFFFFFFFFFFFFFFFFFFFFFFFFFFFFFFFFFFFFFFFFFFFFF5600570058005900FFFFFFFFFFFFFFFFFFFFFFFFFFFFFFFFFFFFFFFFFFFFFFFF5A005B005C005D00FFFFFFFFFFFFFFFFFFFFFFFFFFFFFFFFFFFFFFFFFFFFFF"&amp;"FF5E00FFFFFFFFFFFFFFFFFFFFFFFFFFFFFFFFFFFFFFFFFFFFFFFFFFFFFFFFFFFFFFFFFFFFFFFFFFFFFFFFFFFFFFFFFFFFFFFFFFFFFFFFFFFFFFFFFFFFFFFFFFFF5F00FFFFFFFFFFFFFFFFFFFFFFFFFFFFFFFFFFFFFFFFFFFFFFFFFFFFFFFFFFFFFFFFFFFFFFFFFFFFFFFFFFFFFFFFFFFFFFFFFFFFFFFFFFFFFFFFFFFFFFFFF"&amp;"FFF6000FFFFFFFFFFFFFFFFFFFFFFFFFFFFFFFFFFFFFFFFFFFFFFFFFFFFFFFFFFFF6100FFFFFFFFFFFFFFFFFFFFFFFFFFFFFFFFFFFFFFFFFFFFFFFFFFFFFFFFFFFF6200FFFFFFFFFFFFFFFFFFFFFFFFFFFFFFFFFFFFFFFFFFFFFFFFFFFFFFFFFFFFFFFFFFFFFFFFFFFFFFFFFFFFFFFFFFFFFFFFFFFFFFFFFFFFFFFFFFFFFFFF"&amp;"FFFF6300FFFFFFFFFFFFFFFFFFFFFFFFFFFFFFFFFFFFFFFFFFFFFFFFFFFFFFFFFFFF6400FFFFFFFFFFFFFFFFFFFFFFFFFFFFFFFFFFFFFFFFFFFFFFFFFFFFFFFFFFFF6500FFFFFFFFFFFFFFFFFFFFFFFFFFFFFFFFFFFFFFFFFFFFFFFFFFFFFFFFFFFFFFFFFFFFFFFFFFFFFFFFFFFFFFFFFFFFFFFFFFFFFFFFFFFFFFFFFFFFFFF"&amp;"FFFFF6600FFFFFFFFFFFFFFFFFFFFFFFFFFFFFFFFFFFFFFFFFFFFFFFFFFFFFFFFFFFFFFFFFFFFFFFFFFFFFFFFFFFFFFFFFFFFFFFFFFFFFFFFFFFFFFFFFFFFFFFFFFFF6700FFFFFFFFFFFFFFFFFFFFFFFFFFFF6800FFFFFFFFFFFFFFFFFFFFFFFFFFFFFFFFFFFFFFFFFFFFFFFFFFFFFFFFFFFFFFFFFFFFFFFFFFFFFFFFFFFFFF"&amp;"FFFFFF6900FFFFFFFFFFFFFFFFFFFFFFFFFFFF6A00FFFFFFFFFFFFFFFFFFFFFFFFFFFFFFFFFFFFFFFFFFFFFFFFFFFFFFFFFFFFFFFFFFFFFFFFFFFFFFFFFFFFFFFFFFFF6B00FFFFFFFFFFFFFFFFFFFFFFFFFFFF6C00FFFFFFFFFFFFFFFFFFFFFFFFFFFFFFFFFFFFFFFFFFFFFFFFFFFFFFFFFFFFFFFFFFFFFFFFFFFFFFFFFFFFF"&amp;"FFFFFFF6D00FFFFFFFFFFFFFFFFFFFFFFFFFFFF6E00FFFFFFFFFFFFFFFFFFFFFFFFFFFFFFFFFFFFFFFFFFFFFFFFFFFFFFFFFFFFFFFFFFFFFFFFFFFFFFFFFFFFFFFFFFFF6F00FFFFFFFFFFFFFFFFFFFFFFFFFFFF7000FFFFFFFFFFFFFFFFFFFFFFFFFFFFFFFFFFFFFFFFFFFFFFFFFFFFFFFFFFFFFFFFFFFFFFFFFFFFFFFFFFFF"&amp;"FFFFFFFF6200FFFFFFFFFFFFFFFFFFFFFFFFFFFFFFFFFFFFFFFFFFFFFFFFFFFFFFFFFFFFFFFFFFFFFFFFFFFFFFFFFFFFFFFFFFFFFFFFFFFFFFFFFFFFFFFFFFFFFFFFFFFF7100FFFFFFFFFFFFFFFFFFFFFFFFFFFF7200FFFFFFFFFFFFFFFFFFFFFFFFFFFFFFFFFFFFFFFFFFFFFFFFFFFFFFFFFFFFFFFFFFFFFFFFFFFFFFFFFFF"&amp;"FFFFFFFFF7300FFFFFFFFFFFFFFFFFFFFFFFFFFFF7400FFFFFFFFFFFFFFFFFFFFFFFFFFFF7500FFFFFFFFFFFFFFFFFFFFFFFFFFFFFFFFFFFFFFFFFFFFFFFFFFFFFFFFFFFF7600FFFFFFFFFFFFFFFFFFFFFFFFFFFFFFFFFFFFFFFFFFFFFFFFFFFFFFFFFFFF7700FFFFFFFFFFFFFFFFFFFFFFFFFFFFFFFFFFFFFFFFFFFFFFFFFF"&amp;"FFFFFFFFFF7800FFFFFFFFFFFFFFFFFFFFFFFFFFFFFFFFFFFFFFFFFFFFFFFFFFFFFFFFFFFFFFFFFFFFFFFFFFFFFFFFFFFFFFFFFFFFFFFFFFFFFFFFFFFFFFFFFFFFFFFFFFFF7900FFFFFFFFFFFF7A007B007C007D007E00FFFFFFFFFFFF7F008000810082008300FFFFFFFFFFFF84008500860087008800FFFFFFFFFFFF89008"&amp;"A008B008C008D00FFFFFFFFFFFF8E008F00900091009200FFFFFFFFFFFF93009400950096009700FFFFFFFFFFFF980099009A009B009C00FFFFFFFFFFFF9D009E009F00A000A100FFFFFFFFFFFFA200A300A400A500A600FFFFFFFFFFFFA700A800A900AA00AB00FFFFFFFFFFFFAC00AD00AE00AF00B000FFFFFFFFFFFFB100"&amp;"B200B300B400B500FFFFFFFFFFFFB600FFFFFFFFFFFFB700FFFFFFFFFFFFB800FFFFFFFFFFFFB900FFFFFFFFFFFFBA00FFFFFFFFFFFFBB00FFFFFFFFFFFFBC00FFFFFFFFFFFFBD00FFFFFFFFFFFFBE00BF00C000FFFFC100FFFFFFFFFFFFC200C300C400FFFFC500FFFFFFFFFFFFC600C700C800FFFFC900FFFFFFFFFFFFCA0"&amp;"0CB00CC00FFFFCD00FFFFFFFFFFFFCE00CF00D000FFFFD100FFFFFFFFFFFFD200D300D400FFFFD500FFFFFFFFFFFFD600D700D800FFFFD900FFFFFFFFFFFFDA00DB00DC00FFFFDD00FFFFFFFFFFFFDE00DF00E000FFFFE100FFFFFFFFFFFFE200E300E400FFFFE500FFFFFFFFFFFFE600E700E800FFFFE900FFFFFFFFFFFFEA"&amp;"00EB00EC00FFFFED00FFFFFFFFFFFFEE00EF00F000FFFFF100FFFFFFFFFFFFF200F300F400FFFFF500FFFFFFFFFFFFF600F700F800FFFFF900FFFFFFFFFFFFFA00FB00FC00FFFFFD00FFFFFFFFFFFFFE00FF00000101010201FFFFFFFFFFFF03010401050106010701FFFFFFFFFFFF080109010A010B010C01FFFFFFFFFFFF0"&amp;"D010E010F0110011101FFFFFFFFFFFF12011301140115011601FFFFFFFFFFFF1701180119011A011B01FFFFFFFFFFFF1C011D011E011F012001FFFFFFFFFFFF21012201230124012501FFFFFFFFFFFF26012701280129012A01FFFFFFFFFFFF2B012C012D012E012F01FFFFFFFFFFFF30013101320133013401FFFFFFFFFFFF"&amp;"35013601370138013901FFFFFFFFFFFF3A013B01FFFFFFFF3C01FFFFFFFFFFFF3D013E01FFFFFFFF3F01FFFFFFFFFFFF40014101FFFFFFFF4201FFFFFFFFFFFF43014401FFFFFFFF4501FFFFFFFFFFFF46014701FFFFFFFF4801FFFFFFFFFFFF49014A01FFFFFFFF4B01FFFFFFFFFFFF4B014C01FFFFFFFF4D01FFFFFFFFFFF"&amp;"F4D014E01FFFFFFFF4F01FFFFFFFFFFFFFFFFFFFFFFFFFFFFFFFFFFFFFFFFFFFFFFFFFFFFFFFFFFFFFFFFFFFFFFFFFFFFFFFFFFFFFFFFFFFFFFFFFFFFFFFFFFFFFFFFFFFFFFFFFFFF4F01FFFFFFFFFFFFFFFFFFFFFFFFFFFFFFFFFFFFFFFFFFFFFFFFFFFFFFFFFFFFFFFFFFFFFFFFFFFFFFFFFFFFFFFFFFFFFFFFFFFFFFFFFF"&amp;"FFFFFFFFFFFFFFFFFF4F01FFFFFFFFFFFFFFFFFFFFFFFFFFFFFFFFFFFFFFFFFFFFFFFFFFFFFFFFFFFFFFFFFFFFFFFFFFFFFFFFFFFFFFFFFFFFFFFFFFFFFFFFFFFFFFFFFFFFFFFFFFFF5001FFFFFFFFFFFFFFFFFFFFFFFFFFFF5101FFFFFFFFFFFFFFFFFFFFFFFFFFFF5201FFFFFFFFFFFFFFFFFFFFFFFFFFFFFFFFFFFFFFFFF"&amp;"FFFFFFFFFFFFFFFFFFF5301FFFFFFFFFFFFFFFFFFFFFFFFFFFFFFFFFFFFFFFFFFFFFFFFFFFFFFFFFFFFFFFFFFFFFFFFFFFFFFFFFFFFFFFFFFFFFFFFFFFFFFFFFFFFFFFFFFFFFFFFFFFF5401FFFFFFFFFFFFFFFFFFFFFFFFFFFFFFFFFFFFFFFFFFFFFFFFFFFFFFFFFFFFFFFFFFFFFFFFFFFFFFFFFFFFFFFFFFFFFFFFFFFFFFFF"&amp;"FFFFFFFFFFFFFFFFFFFF5501FFFFFFFFFFFFFFFFFFFFFFFFFFFFFFFFFFFFFFFFFFFFFFFFFFFFFFFFFFFFFFFFFFFFFFFFFFFFFFFFFFFFFFFFFFFFFFFFFFFFFFFFFFFFFFFFFFFFFFFFFFFF5601FFFFFFFFFFFFFFFFFFFFFFFFFFFFFFFFFFFFFFFFFFFFFFFFFFFFFFFFFFFFFFFFFFFFFFFFFFFFFFFFFFFFFFFFFFFFFFFFFFFFFFF"&amp;"FFFFFFFFFFFFFFFFFFFFF5701FFFFFFFFFFFFFFFFFFFFFFFFFFFFFFFFFFFFFFFFFFFFFFFFFFFFFFFFFFFFFFFFFFFFFFFFFFFFFFFFFFFFFFFFFFFFFFFFFFFFFFFFFFFFFFFFFFFFFFFFFFFF5801FFFFFFFFFFFFFFFFFFFFFFFFFFFFFFFFFFFFFFFFFFFFFFFFFFFFFFFFFFFFFFFFFFFFFFFFFFFFFFFFFFFFFFFFFFFFFFFFFFFFFF"&amp;"FFFFFFFFFFFFFFFFFFFFFF5901FFFFFFFFFFFFFFFFFFFFFFFFFFFFFFFFFFFFFFFFFFFFFFFFFFFFFFFFFFFFFFFFFFFFFFFFFFFFFFFFFFFFFFFFFFFFFFFFFFFFFFFFFFFFFFFFFFFFFFFFFFFF5A01FFFFFFFFFFFFFFFFFFFFFFFFFFFFFFFFFFFFFFFFFFFFFFFFFFFFFFFFFFFFFFFFFFFFFFFFFFFFFFFFFFFFFFFFFFFFFFFFFFFFF"&amp;"FFFFFFFFFFFFFFFFFFFFFFF5B01FFFFFFFFFFFF5C01FFFFFFFFFFFF5D01FFFFFFFFFFFF5E01FFFFFFFFFFFFFFFFFFFFFFFFFFFFFFFFFFFFFFFFFFFF5F01FFFFFFFFFFFF6001FFFFFFFFFFFF")</f>
        <v>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v>
      </c>
      <c r="D4" s="39"/>
      <c r="E4" s="39"/>
      <c r="F4" s="39"/>
      <c r="G4" s="39"/>
      <c r="H4" s="39"/>
      <c r="I4" s="39"/>
      <c r="J4" s="39"/>
      <c r="K4" s="39"/>
      <c r="L4" s="39"/>
      <c r="M4" s="40"/>
      <c r="P4" s="41" t="s">
        <v>448</v>
      </c>
      <c r="Q4" s="40"/>
      <c r="R4" s="38" t="str">
        <f>IFERROR(__xludf.DUMMYFUNCTION("JOIN("""", TOROW(MAP({D40:AI156}, LAMBDA(cell, IF(ISBLANK(cell), DEC2HEX(65535), CONCATENATE(RIGHT(DEC2HEX(cell, 4), 2), LEFT(DEC2HEX(cell, 4), 2))   ) ))))                "),"4A00FFFFFFFFFFFFFFFFFFFFFFFFFFFFFFFFFFFFFFFFFFFFFFFFFFFFFFFFFFFF4B00FFFFFFFFFFFFFFFFFFFFFFFFFFFFFFFFFFFFFFFFFFFFFFFFFFFFFFFFFFFF4C004D004E004F00FFFFFFFFFFFFFFFFFFFFFFFFFFFFFFFFFFFFFFFFFFFFFFFF5000510052005300FFFFFFFFFFFFFFFFFFFFFFFFFFFFFFFFFFFFFFFFFFFFFFF"&amp;"F5400FFFFFFFFFFFFFFFFFFFFFFFFFFFFFFFFFFFFFFFFFFFFFFFFFFFFFFFFFFFF5500FFFFFFFFFFFFFFFFFFFFFFFFFFFFFFFFFFFFFFFFFFFFFFFFFFFFFFFFFFFF5600570058005900FFFFFFFFFFFFFFFFFFFFFFFFFFFFFFFFFFFFFFFFFFFFFFFF5A005B005C005D00FFFFFFFFFFFFFFFFFFFFFFFFFFFFFFFFFFFFFFFFFFFFFF"&amp;"FF5E00FFFFFFFFFFFFFFFFFFFFFFFFFFFFFFFFFFFFFFFFFFFFFFFFFFFFFFFFFFFFFFFFFFFFFFFFFFFFFFFFFFFFFFFFFFFFFFFFFFFFFFFFFFFFFFFFFFFFFFFFFFFF5F00FFFFFFFFFFFFFFFFFFFFFFFFFFFFFFFFFFFFFFFFFFFFFFFFFFFFFFFFFFFFFFFFFFFFFFFFFFFFFFFFFFFFFFFFFFFFFFFFFFFFFFFFFFFFFFFFFFFFFFFFF"&amp;"FFF6000FFFFFFFFFFFFFFFFFFFFFFFFFFFFFFFFFFFFFFFFFFFFFFFFFFFFFFFFFFFF6100FFFFFFFFFFFFFFFFFFFFFFFFFFFFFFFFFFFFFFFFFFFFFFFFFFFFFFFFFFFF6200FFFFFFFFFFFFFFFFFFFFFFFFFFFFFFFFFFFFFFFFFFFFFFFFFFFFFFFFFFFFFFFFFFFFFFFFFFFFFFFFFFFFFFFFFFFFFFFFFFFFFFFFFFFFFFFFFFFFFFFF"&amp;"FFFF6300FFFFFFFFFFFFFFFFFFFFFFFFFFFFFFFFFFFFFFFFFFFFFFFFFFFFFFFFFFFF6400FFFFFFFFFFFFFFFFFFFFFFFFFFFFFFFFFFFFFFFFFFFFFFFFFFFFFFFFFFFF6500FFFFFFFFFFFFFFFFFFFFFFFFFFFFFFFFFFFFFFFFFFFFFFFFFFFFFFFFFFFFFFFFFFFFFFFFFFFFFFFFFFFFFFFFFFFFFFFFFFFFFFFFFFFFFFFFFFFFFFF"&amp;"FFFFF6600FFFFFFFFFFFFFFFFFFFFFFFFFFFFFFFFFFFFFFFFFFFFFFFFFFFFFFFFFFFFFFFFFFFFFFFFFFFFFFFFFFFFFFFFFFFFFFFFFFFFFFFFFFFFFFFFFFFFFFFFFFFF6700FFFFFFFFFFFFFFFFFFFFFFFFFFFF6800FFFFFFFFFFFFFFFFFFFFFFFFFFFFFFFFFFFFFFFFFFFFFFFFFFFFFFFFFFFFFFFFFFFFFFFFFFFFFFFFFFFFFF"&amp;"FFFFFF6900FFFFFFFFFFFFFFFFFFFFFFFFFFFF6A00FFFFFFFFFFFFFFFFFFFFFFFFFFFFFFFFFFFFFFFFFFFFFFFFFFFFFFFFFFFFFFFFFFFFFFFFFFFFFFFFFFFFFFFFFFFF6B00FFFFFFFFFFFFFFFFFFFFFFFFFFFF6C00FFFFFFFFFFFFFFFFFFFFFFFFFFFFFFFFFFFFFFFFFFFFFFFFFFFFFFFFFFFFFFFFFFFFFFFFFFFFFFFFFFFFF"&amp;"FFFFFFF6D00FFFFFFFFFFFFFFFFFFFFFFFFFFFF6E00FFFFFFFFFFFFFFFFFFFFFFFFFFFFFFFFFFFFFFFFFFFFFFFFFFFFFFFFFFFFFFFFFFFFFFFFFFFFFFFFFFFFFFFFFFFF6F00FFFFFFFFFFFFFFFFFFFFFFFFFFFF7000FFFFFFFFFFFFFFFFFFFFFFFFFFFFFFFFFFFFFFFFFFFFFFFFFFFFFFFFFFFFFFFFFFFFFFFFFFFFFFFFFFFF"&amp;"FFFFFFFF6200FFFFFFFFFFFFFFFFFFFFFFFFFFFFFFFFFFFFFFFFFFFFFFFFFFFFFFFFFFFFFFFFFFFFFFFFFFFFFFFFFFFFFFFFFFFFFFFFFFFFFFFFFFFFFFFFFFFFFFFFFFFF7100FFFFFFFFFFFFFFFFFFFFFFFFFFFF7200FFFFFFFFFFFFFFFFFFFFFFFFFFFFFFFFFFFFFFFFFFFFFFFFFFFFFFFFFFFFFFFFFFFFFFFFFFFFFFFFFFF"&amp;"FFFFFFFFF7300FFFFFFFFFFFFFFFFFFFFFFFFFFFF7400FFFFFFFFFFFFFFFFFFFFFFFFFFFF7500FFFFFFFFFFFFFFFFFFFFFFFFFFFFFFFFFFFFFFFFFFFFFFFFFFFFFFFFFFFF7600FFFFFFFFFFFFFFFFFFFFFFFFFFFFFFFFFFFFFFFFFFFFFFFFFFFFFFFFFFFF7700FFFFFFFFFFFFFFFFFFFFFFFFFFFFFFFFFFFFFFFFFFFFFFFFFF"&amp;"FFFFFFFFFF7800FFFFFFFFFFFFFFFFFFFFFFFFFFFFFFFFFFFFFFFFFFFFFFFFFFFFFFFFFFFFFFFFFFFFFFFFFFFFFFFFFFFFFFFFFFFFFFFFFFFFFFFFFFFFFFFFFFFFFFFFFFFF7900FFFFFFFFFFFF7A007B007C007D007E00FFFFFFFFFFFF7F008000810082008300FFFFFFFFFFFF84008500860087008800FFFFFFFFFFFF89008"&amp;"A008B008C008D00FFFFFFFFFFFF8E008F00900091009200FFFFFFFFFFFF93009400950096009700FFFFFFFFFFFF980099009A009B009C00FFFFFFFFFFFF9D009E009F00A000A100FFFFFFFFFFFFA200A300A400A500A600FFFFFFFFFFFFA700A800A900AA00AB00FFFFFFFFFFFFAC00AD00AE00AF00B000FFFFFFFFFFFFB100"&amp;"B200B300B400B500FFFFFFFFFFFFB600FFFFFFFFFFFFB700FFFFFFFFFFFFB800FFFFFFFFFFFFB900FFFFFFFFFFFFBA00FFFFFFFFFFFFBB00FFFFFFFFFFFFBC00FFFFFFFFFFFFBD00FFFFFFFFFFFFBE00BF00C000FFFFC100FFFFFFFFFFFFC200C300C400FFFFC500FFFFFFFFFFFFC600C700C800FFFFC900FFFFFFFFFFFFCA0"&amp;"0CB00CC00FFFFCD00FFFFFFFFFFFFCE00CF00D000FFFFD100FFFFFFFFFFFFD200D300D400FFFFD500FFFFFFFFFFFFD600D700D800FFFFD900FFFFFFFFFFFFDA00DB00DC00FFFFDD00FFFFFFFFFFFFDE00DF00E000FFFFE100FFFFFFFFFFFFE200E300E400FFFFE500FFFFFFFFFFFFE600E700E800FFFFE900FFFFFFFFFFFFEA"&amp;"00EB00EC00FFFFED00FFFFFFFFFFFFEE00EF00F000FFFFF100FFFFFFFFFFFFF200F300F400FFFFF500FFFFFFFFFFFFF600F700F800FFFFF900FFFFFFFFFFFFFA00FB00FC00FFFFFD00FFFFFFFFFFFFFE00FF00000101010201FFFFFFFFFFFF03010401050106010701FFFFFFFFFFFF080109010A010B010C01FFFFFFFFFFFF0"&amp;"D010E010F0110011101FFFFFFFFFFFF12011301140115011601FFFFFFFFFFFF1701180119011A011B01FFFFFFFFFFFF1C011D011E011F012001FFFFFFFFFFFF21012201230124012501FFFFFFFFFFFF26012701280129012A01FFFFFFFFFFFF2B012C012D012E012F01FFFFFFFFFFFF30013101320133013401FFFFFFFFFFFF"&amp;"35013601370138013901FFFFFFFFFFFF3A013B01FFFFFFFF3C01FFFFFFFFFFFF3D013E01FFFFFFFF3F01FFFFFFFFFFFF40014101FFFFFFFF4201FFFFFFFFFFFF43014401FFFFFFFF4501FFFFFFFFFFFF46014701FFFFFFFF4801FFFFFFFFFFFF49014A01FFFFFFFF4B01FFFFFFFFFFFF4B014C01FFFFFFFF4D01FFFFFFFFFFF"&amp;"F4D014E01FFFFFFFF4F01FFFFFFFFFFFFFFFFFFFFFFFFFFFFFFFFFFFFFFFFFFFFFFFFFFFFFFFFFFFFFFFFFFFFFFFFFFFFFFFFFFFFFFFFFFFFFFFFFFFFFFFFFFFFFFFFFFFFFFFFFFFF4F01FFFFFFFFFFFFFFFFFFFFFFFFFFFFFFFFFFFFFFFFFFFFFFFFFFFFFFFFFFFFFFFFFFFFFFFFFFFFFFFFFFFFFFFFFFFFFFFFFFFFFFFFFF"&amp;"FFFFFFFFFFFFFFFFFF4F01FFFFFFFFFFFFFFFFFFFFFFFFFFFFFFFFFFFFFFFFFFFFFFFFFFFFFFFFFFFFFFFFFFFFFFFFFFFFFFFFFFFFFFFFFFFFFFFFFFFFFFFFFFFFFFFFFFFFFFFFFFFF5001FFFFFFFFFFFFFFFFFFFFFFFFFFFF5101FFFFFFFFFFFFFFFFFFFFFFFFFFFF5201FFFFFFFFFFFFFFFFFFFFFFFFFFFFFFFFFFFFFFFFF"&amp;"FFFFFFFFFFFFFFFFFFF5301FFFFFFFFFFFFFFFFFFFFFFFFFFFFFFFFFFFFFFFFFFFFFFFFFFFFFFFFFFFFFFFFFFFFFFFFFFFFFFFFFFFFFFFFFFFFFFFFFFFFFFFFFFFFFFFFFFFFFFFFFFFF5401FFFFFFFFFFFFFFFFFFFFFFFFFFFFFFFFFFFFFFFFFFFFFFFFFFFFFFFFFFFFFFFFFFFFFFFFFFFFFFFFFFFFFFFFFFFFFFFFFFFFFFFF"&amp;"FFFFFFFFFFFFFFFFFFFF5501FFFFFFFFFFFFFFFFFFFFFFFFFFFFFFFFFFFFFFFFFFFFFFFFFFFFFFFFFFFFFFFFFFFFFFFFFFFFFFFFFFFFFFFFFFFFFFFFFFFFFFFFFFFFFFFFFFFFFFFFFFFF5601FFFFFFFFFFFFFFFFFFFFFFFFFFFFFFFFFFFFFFFFFFFFFFFFFFFFFFFFFFFFFFFFFFFFFFFFFFFFFFFFFFFFFFFFFFFFFFFFFFFFFFF"&amp;"FFFFFFFFFFFFFFFFFFFFF5701FFFFFFFFFFFFFFFFFFFFFFFFFFFFFFFFFFFFFFFFFFFFFFFFFFFFFFFFFFFFFFFFFFFFFFFFFFFFFFFFFFFFFFFFFFFFFFFFFFFFFFFFFFFFFFFFFFFFFFFFFFFF5801FFFFFFFFFFFFFFFFFFFFFFFFFFFFFFFFFFFFFFFFFFFFFFFFFFFFFFFFFFFFFFFFFFFFFFFFFFFFFFFFFFFFFFFFFFFFFFFFFFFFFF"&amp;"FFFFFFFFFFFFFFFFFFFFFF5901FFFFFFFFFFFFFFFFFFFFFFFFFFFFFFFFFFFFFFFFFFFFFFFFFFFFFFFFFFFFFFFFFFFFFFFFFFFFFFFFFFFFFFFFFFFFFFFFFFFFFFFFFFFFFFFFFFFFFFFFFFFF5A01FFFFFFFFFFFFFFFFFFFFFFFFFFFFFFFFFFFFFFFFFFFFFFFFFFFFFFFFFFFFFFFFFFFFFFFFFFFFFFFFFFFFFFFFFFFFFFFFFFFFF"&amp;"FFFFFFFFFFFFFFFFFFFFFFF5B01FFFFFFFFFFFF5C01FFFFFFFFFFFF5D01FFFFFFFFFFFF5E01FFFFFFFFFFFFFFFFFFFFFFFFFFFFFFFFFFFFFFFFFFFF5F01FFFFFFFFFFFF6001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
        <v>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v>
      </c>
      <c r="S4" s="39"/>
      <c r="T4" s="39"/>
      <c r="U4" s="39"/>
      <c r="V4" s="39"/>
      <c r="W4" s="39"/>
      <c r="X4" s="39"/>
      <c r="Y4" s="39"/>
      <c r="Z4" s="39"/>
      <c r="AA4" s="39"/>
      <c r="AB4" s="40"/>
    </row>
    <row r="5">
      <c r="B5" s="42"/>
      <c r="C5" s="43"/>
      <c r="M5" s="44"/>
      <c r="P5" s="43"/>
      <c r="Q5" s="44"/>
      <c r="R5" s="43"/>
      <c r="AB5" s="44"/>
    </row>
    <row r="6">
      <c r="B6" s="45"/>
      <c r="C6" s="43"/>
      <c r="M6" s="44"/>
      <c r="P6" s="46"/>
      <c r="Q6" s="47"/>
      <c r="R6" s="43"/>
      <c r="AB6" s="44"/>
    </row>
    <row r="7">
      <c r="C7" s="43"/>
      <c r="M7" s="44"/>
      <c r="R7" s="43"/>
      <c r="AB7" s="44"/>
    </row>
    <row r="8">
      <c r="C8" s="43"/>
      <c r="M8" s="44"/>
      <c r="R8" s="43"/>
      <c r="AB8" s="44"/>
    </row>
    <row r="9">
      <c r="C9" s="43"/>
      <c r="M9" s="44"/>
      <c r="R9" s="43"/>
      <c r="AB9" s="44"/>
    </row>
    <row r="10">
      <c r="C10" s="43"/>
      <c r="M10" s="44"/>
      <c r="R10" s="43"/>
      <c r="AB10" s="44"/>
    </row>
    <row r="11">
      <c r="C11" s="43"/>
      <c r="M11" s="44"/>
      <c r="R11" s="43"/>
      <c r="AB11" s="44"/>
    </row>
    <row r="12">
      <c r="C12" s="43"/>
      <c r="M12" s="44"/>
      <c r="R12" s="43"/>
      <c r="AB12" s="44"/>
    </row>
    <row r="13">
      <c r="C13" s="43"/>
      <c r="M13" s="44"/>
      <c r="R13" s="43"/>
      <c r="AB13" s="44"/>
    </row>
    <row r="14">
      <c r="C14" s="43"/>
      <c r="M14" s="44"/>
      <c r="R14" s="43"/>
      <c r="AB14" s="44"/>
    </row>
    <row r="15">
      <c r="C15" s="43"/>
      <c r="M15" s="44"/>
      <c r="R15" s="43"/>
      <c r="AB15" s="44"/>
    </row>
    <row r="16">
      <c r="C16" s="43"/>
      <c r="M16" s="44"/>
      <c r="R16" s="43"/>
      <c r="AB16" s="44"/>
    </row>
    <row r="17">
      <c r="C17" s="43"/>
      <c r="M17" s="44"/>
      <c r="R17" s="43"/>
      <c r="AB17" s="44"/>
    </row>
    <row r="18">
      <c r="C18" s="43"/>
      <c r="M18" s="44"/>
      <c r="R18" s="43"/>
      <c r="AB18" s="44"/>
    </row>
    <row r="19">
      <c r="C19" s="43"/>
      <c r="M19" s="44"/>
      <c r="R19" s="43"/>
      <c r="AB19" s="44"/>
    </row>
    <row r="20">
      <c r="C20" s="43"/>
      <c r="M20" s="44"/>
      <c r="R20" s="43"/>
      <c r="AB20" s="44"/>
    </row>
    <row r="21">
      <c r="C21" s="43"/>
      <c r="M21" s="44"/>
      <c r="R21" s="43"/>
      <c r="AB21" s="44"/>
    </row>
    <row r="22">
      <c r="C22" s="43"/>
      <c r="M22" s="44"/>
      <c r="R22" s="43"/>
      <c r="AB22" s="44"/>
    </row>
    <row r="23">
      <c r="C23" s="43"/>
      <c r="M23" s="44"/>
      <c r="R23" s="43"/>
      <c r="AB23" s="44"/>
    </row>
    <row r="24">
      <c r="C24" s="43"/>
      <c r="M24" s="44"/>
      <c r="R24" s="43"/>
      <c r="AB24" s="44"/>
    </row>
    <row r="25">
      <c r="C25" s="43"/>
      <c r="M25" s="44"/>
      <c r="R25" s="43"/>
      <c r="AB25" s="44"/>
    </row>
    <row r="26">
      <c r="C26" s="43"/>
      <c r="M26" s="44"/>
      <c r="R26" s="43"/>
      <c r="AB26" s="44"/>
    </row>
    <row r="27">
      <c r="C27" s="43"/>
      <c r="M27" s="44"/>
      <c r="R27" s="43"/>
      <c r="AB27" s="44"/>
    </row>
    <row r="28">
      <c r="C28" s="43"/>
      <c r="M28" s="44"/>
      <c r="R28" s="43"/>
      <c r="AB28" s="44"/>
    </row>
    <row r="29">
      <c r="C29" s="43"/>
      <c r="M29" s="44"/>
      <c r="R29" s="43"/>
      <c r="AB29" s="44"/>
    </row>
    <row r="30">
      <c r="C30" s="43"/>
      <c r="M30" s="44"/>
      <c r="R30" s="43"/>
      <c r="AB30" s="44"/>
    </row>
    <row r="31">
      <c r="C31" s="43"/>
      <c r="M31" s="44"/>
      <c r="R31" s="43"/>
      <c r="AB31" s="44"/>
    </row>
    <row r="32">
      <c r="C32" s="43"/>
      <c r="M32" s="44"/>
      <c r="R32" s="43"/>
      <c r="AB32" s="44"/>
    </row>
    <row r="33">
      <c r="C33" s="43"/>
      <c r="M33" s="44"/>
      <c r="R33" s="43"/>
      <c r="AB33" s="44"/>
    </row>
    <row r="34">
      <c r="C34" s="46"/>
      <c r="D34" s="48"/>
      <c r="E34" s="48"/>
      <c r="F34" s="48"/>
      <c r="G34" s="48"/>
      <c r="H34" s="48"/>
      <c r="I34" s="48"/>
      <c r="J34" s="48"/>
      <c r="K34" s="48"/>
      <c r="L34" s="48"/>
      <c r="M34" s="47"/>
      <c r="R34" s="46"/>
      <c r="S34" s="48"/>
      <c r="T34" s="48"/>
      <c r="U34" s="48"/>
      <c r="V34" s="48"/>
      <c r="W34" s="48"/>
      <c r="X34" s="48"/>
      <c r="Y34" s="48"/>
      <c r="Z34" s="48"/>
      <c r="AA34" s="48"/>
      <c r="AB34" s="47"/>
    </row>
    <row r="38">
      <c r="B38" s="49" t="s">
        <v>194</v>
      </c>
      <c r="C38" s="74" t="s">
        <v>450</v>
      </c>
      <c r="D38" s="52" t="s">
        <v>582</v>
      </c>
      <c r="E38" s="39"/>
      <c r="F38" s="39"/>
      <c r="G38" s="39"/>
      <c r="H38" s="39"/>
      <c r="I38" s="39"/>
      <c r="J38" s="39"/>
      <c r="K38" s="39"/>
      <c r="L38" s="52" t="s">
        <v>167</v>
      </c>
      <c r="M38" s="39"/>
      <c r="N38" s="39"/>
      <c r="O38" s="39"/>
      <c r="P38" s="39"/>
      <c r="Q38" s="39"/>
      <c r="R38" s="39"/>
      <c r="S38" s="39"/>
      <c r="T38" s="52" t="s">
        <v>583</v>
      </c>
      <c r="U38" s="39"/>
      <c r="V38" s="39"/>
      <c r="W38" s="39"/>
      <c r="X38" s="39"/>
      <c r="Y38" s="39"/>
      <c r="Z38" s="39"/>
      <c r="AA38" s="53"/>
      <c r="AB38" s="51" t="s">
        <v>167</v>
      </c>
      <c r="AC38" s="39"/>
      <c r="AD38" s="39"/>
      <c r="AE38" s="39"/>
      <c r="AF38" s="39"/>
      <c r="AG38" s="39"/>
      <c r="AH38" s="39"/>
      <c r="AI38" s="40"/>
    </row>
    <row r="39">
      <c r="A39" s="54"/>
      <c r="B39" s="46"/>
      <c r="C39" s="75"/>
      <c r="D39" s="57" t="s">
        <v>584</v>
      </c>
      <c r="E39" s="56" t="s">
        <v>585</v>
      </c>
      <c r="F39" s="56" t="s">
        <v>586</v>
      </c>
      <c r="G39" s="56" t="s">
        <v>587</v>
      </c>
      <c r="H39" s="56"/>
      <c r="I39" s="56"/>
      <c r="J39" s="56"/>
      <c r="K39" s="56"/>
      <c r="L39" s="57"/>
      <c r="M39" s="56"/>
      <c r="N39" s="56"/>
      <c r="O39" s="56"/>
      <c r="P39" s="56"/>
      <c r="Q39" s="56"/>
      <c r="R39" s="56"/>
      <c r="S39" s="56"/>
      <c r="T39" s="57" t="s">
        <v>584</v>
      </c>
      <c r="U39" s="56" t="s">
        <v>585</v>
      </c>
      <c r="V39" s="56" t="s">
        <v>586</v>
      </c>
      <c r="W39" s="56" t="s">
        <v>587</v>
      </c>
      <c r="X39" s="56"/>
      <c r="Y39" s="56"/>
      <c r="Z39" s="56"/>
      <c r="AA39" s="58"/>
      <c r="AB39" s="56"/>
      <c r="AC39" s="56"/>
      <c r="AD39" s="56"/>
      <c r="AE39" s="56"/>
      <c r="AF39" s="56"/>
      <c r="AG39" s="56"/>
      <c r="AH39" s="56"/>
      <c r="AI39" s="76"/>
      <c r="AJ39" s="59"/>
    </row>
    <row r="40">
      <c r="B40" s="60">
        <v>0.0</v>
      </c>
      <c r="C40" s="23" t="s">
        <v>455</v>
      </c>
      <c r="D40" s="16">
        <v>74.0</v>
      </c>
      <c r="K40" s="63"/>
      <c r="S40" s="63"/>
      <c r="T40" s="16">
        <v>75.0</v>
      </c>
      <c r="AA40" s="63"/>
      <c r="AI40" s="77"/>
    </row>
    <row r="41">
      <c r="B41" s="60">
        <v>1.0</v>
      </c>
      <c r="C41" s="23" t="s">
        <v>588</v>
      </c>
      <c r="D41" s="16">
        <v>76.0</v>
      </c>
      <c r="E41" s="16">
        <v>77.0</v>
      </c>
      <c r="F41" s="16">
        <v>78.0</v>
      </c>
      <c r="G41" s="16">
        <v>79.0</v>
      </c>
      <c r="K41" s="23"/>
      <c r="S41" s="23"/>
      <c r="T41" s="16">
        <v>80.0</v>
      </c>
      <c r="U41" s="16">
        <v>81.0</v>
      </c>
      <c r="V41" s="16">
        <v>82.0</v>
      </c>
      <c r="W41" s="16">
        <v>83.0</v>
      </c>
      <c r="AA41" s="63"/>
      <c r="AI41" s="77"/>
    </row>
    <row r="42">
      <c r="B42" s="60">
        <v>2.0</v>
      </c>
      <c r="C42" s="23" t="s">
        <v>476</v>
      </c>
      <c r="D42" s="16">
        <v>84.0</v>
      </c>
      <c r="K42" s="63"/>
      <c r="S42" s="63"/>
      <c r="T42" s="16">
        <v>85.0</v>
      </c>
      <c r="AA42" s="63"/>
      <c r="AI42" s="77"/>
    </row>
    <row r="43">
      <c r="B43" s="60">
        <v>3.0</v>
      </c>
      <c r="C43" s="23" t="s">
        <v>589</v>
      </c>
      <c r="D43" s="16">
        <v>86.0</v>
      </c>
      <c r="E43" s="16">
        <v>87.0</v>
      </c>
      <c r="F43" s="16">
        <v>88.0</v>
      </c>
      <c r="G43" s="16">
        <v>89.0</v>
      </c>
      <c r="K43" s="63"/>
      <c r="S43" s="63"/>
      <c r="T43" s="16">
        <v>90.0</v>
      </c>
      <c r="U43" s="16">
        <v>91.0</v>
      </c>
      <c r="V43" s="16">
        <v>92.0</v>
      </c>
      <c r="W43" s="16">
        <v>93.0</v>
      </c>
      <c r="AA43" s="63"/>
      <c r="AI43" s="77"/>
    </row>
    <row r="44">
      <c r="B44" s="60">
        <v>4.0</v>
      </c>
      <c r="C44" s="23" t="s">
        <v>465</v>
      </c>
      <c r="D44" s="16">
        <v>94.0</v>
      </c>
      <c r="K44" s="63"/>
      <c r="S44" s="63"/>
      <c r="AA44" s="63"/>
      <c r="AI44" s="77"/>
    </row>
    <row r="45">
      <c r="B45" s="60">
        <v>5.0</v>
      </c>
      <c r="C45" s="23" t="s">
        <v>478</v>
      </c>
      <c r="D45" s="16">
        <v>95.0</v>
      </c>
      <c r="K45" s="63"/>
      <c r="S45" s="63"/>
      <c r="AA45" s="63"/>
      <c r="AI45" s="77"/>
    </row>
    <row r="46">
      <c r="B46" s="60">
        <v>6.0</v>
      </c>
      <c r="C46" s="23" t="s">
        <v>479</v>
      </c>
      <c r="D46" s="16">
        <v>96.0</v>
      </c>
      <c r="K46" s="23"/>
      <c r="S46" s="23"/>
      <c r="T46" s="16">
        <v>97.0</v>
      </c>
      <c r="AA46" s="63"/>
      <c r="AI46" s="77"/>
    </row>
    <row r="47">
      <c r="B47" s="60">
        <v>7.0</v>
      </c>
      <c r="C47" s="23" t="s">
        <v>480</v>
      </c>
      <c r="D47" s="16">
        <v>98.0</v>
      </c>
      <c r="K47" s="23"/>
      <c r="S47" s="23"/>
      <c r="AA47" s="63"/>
      <c r="AI47" s="77"/>
    </row>
    <row r="48">
      <c r="B48" s="60">
        <v>8.0</v>
      </c>
      <c r="C48" s="23" t="s">
        <v>481</v>
      </c>
      <c r="D48" s="16">
        <v>99.0</v>
      </c>
      <c r="K48" s="63"/>
      <c r="S48" s="63"/>
      <c r="T48" s="16">
        <v>100.0</v>
      </c>
      <c r="AA48" s="63"/>
      <c r="AI48" s="77"/>
    </row>
    <row r="49">
      <c r="B49" s="60">
        <v>9.0</v>
      </c>
      <c r="C49" s="23" t="s">
        <v>482</v>
      </c>
      <c r="D49" s="16">
        <v>101.0</v>
      </c>
      <c r="K49" s="63"/>
      <c r="S49" s="63"/>
      <c r="AA49" s="63"/>
      <c r="AI49" s="77"/>
    </row>
    <row r="50">
      <c r="B50" s="60">
        <v>10.0</v>
      </c>
      <c r="C50" s="23" t="s">
        <v>463</v>
      </c>
      <c r="D50" s="16">
        <v>102.0</v>
      </c>
      <c r="K50" s="63"/>
      <c r="S50" s="63"/>
      <c r="AA50" s="63"/>
      <c r="AI50" s="77"/>
    </row>
    <row r="51">
      <c r="B51" s="60">
        <v>11.0</v>
      </c>
      <c r="C51" s="23" t="s">
        <v>590</v>
      </c>
      <c r="D51" s="16">
        <v>103.0</v>
      </c>
      <c r="K51" s="63"/>
      <c r="L51" s="16">
        <v>104.0</v>
      </c>
      <c r="S51" s="63"/>
      <c r="AA51" s="63"/>
      <c r="AI51" s="77"/>
    </row>
    <row r="52">
      <c r="B52" s="60">
        <v>12.0</v>
      </c>
      <c r="C52" s="23" t="s">
        <v>591</v>
      </c>
      <c r="D52" s="16">
        <v>105.0</v>
      </c>
      <c r="K52" s="63"/>
      <c r="L52" s="16">
        <v>106.0</v>
      </c>
      <c r="S52" s="63"/>
      <c r="AA52" s="63"/>
      <c r="AI52" s="77"/>
    </row>
    <row r="53">
      <c r="B53" s="60">
        <v>13.0</v>
      </c>
      <c r="C53" s="23" t="s">
        <v>592</v>
      </c>
      <c r="D53" s="16">
        <v>107.0</v>
      </c>
      <c r="K53" s="63"/>
      <c r="L53" s="16">
        <v>108.0</v>
      </c>
      <c r="S53" s="63"/>
      <c r="AA53" s="63"/>
      <c r="AI53" s="77"/>
    </row>
    <row r="54">
      <c r="B54" s="60">
        <v>14.0</v>
      </c>
      <c r="C54" s="23" t="s">
        <v>593</v>
      </c>
      <c r="D54" s="16">
        <v>109.0</v>
      </c>
      <c r="K54" s="63"/>
      <c r="L54" s="16">
        <v>110.0</v>
      </c>
      <c r="S54" s="63"/>
      <c r="AA54" s="63"/>
      <c r="AI54" s="77"/>
    </row>
    <row r="55">
      <c r="B55" s="60">
        <v>15.0</v>
      </c>
      <c r="C55" s="23" t="s">
        <v>594</v>
      </c>
      <c r="D55" s="16">
        <v>111.0</v>
      </c>
      <c r="K55" s="63"/>
      <c r="L55" s="16">
        <v>112.0</v>
      </c>
      <c r="S55" s="63"/>
      <c r="AA55" s="63"/>
      <c r="AI55" s="77"/>
    </row>
    <row r="56">
      <c r="B56" s="60">
        <v>16.0</v>
      </c>
      <c r="C56" s="23" t="s">
        <v>489</v>
      </c>
      <c r="D56" s="16">
        <v>98.0</v>
      </c>
      <c r="K56" s="63"/>
      <c r="S56" s="63"/>
      <c r="AA56" s="63"/>
      <c r="AI56" s="77"/>
    </row>
    <row r="57">
      <c r="B57" s="60">
        <v>17.0</v>
      </c>
      <c r="C57" s="23" t="s">
        <v>471</v>
      </c>
      <c r="D57" s="16">
        <v>113.0</v>
      </c>
      <c r="K57" s="63"/>
      <c r="L57" s="16">
        <v>114.0</v>
      </c>
      <c r="S57" s="63"/>
      <c r="AA57" s="63"/>
      <c r="AI57" s="77"/>
    </row>
    <row r="58">
      <c r="B58" s="60">
        <v>18.0</v>
      </c>
      <c r="C58" s="23" t="s">
        <v>488</v>
      </c>
      <c r="D58" s="16">
        <v>115.0</v>
      </c>
      <c r="K58" s="63"/>
      <c r="L58" s="16">
        <v>116.0</v>
      </c>
      <c r="S58" s="63"/>
      <c r="T58" s="16">
        <v>117.0</v>
      </c>
      <c r="AA58" s="63"/>
      <c r="AI58" s="77"/>
    </row>
    <row r="59">
      <c r="B59" s="60">
        <v>19.0</v>
      </c>
      <c r="C59" s="23" t="s">
        <v>490</v>
      </c>
      <c r="D59" s="16">
        <v>118.0</v>
      </c>
      <c r="K59" s="63"/>
      <c r="S59" s="63"/>
      <c r="T59" s="16">
        <v>119.0</v>
      </c>
      <c r="AA59" s="63"/>
      <c r="AI59" s="77"/>
    </row>
    <row r="60">
      <c r="B60" s="60">
        <v>20.0</v>
      </c>
      <c r="C60" s="23" t="s">
        <v>167</v>
      </c>
      <c r="D60" s="16">
        <v>120.0</v>
      </c>
      <c r="K60" s="63"/>
      <c r="S60" s="63"/>
      <c r="AA60" s="63"/>
      <c r="AI60" s="77"/>
    </row>
    <row r="61">
      <c r="B61" s="60">
        <v>21.0</v>
      </c>
      <c r="C61" s="23" t="s">
        <v>167</v>
      </c>
      <c r="D61" s="16">
        <v>121.0</v>
      </c>
      <c r="H61" s="16">
        <v>122.0</v>
      </c>
      <c r="I61" s="16">
        <v>123.0</v>
      </c>
      <c r="J61" s="16">
        <v>124.0</v>
      </c>
      <c r="K61" s="23">
        <v>125.0</v>
      </c>
      <c r="L61" s="16">
        <v>126.0</v>
      </c>
      <c r="P61" s="16">
        <v>127.0</v>
      </c>
      <c r="Q61" s="16">
        <v>128.0</v>
      </c>
      <c r="R61" s="16">
        <v>129.0</v>
      </c>
      <c r="S61" s="23">
        <v>130.0</v>
      </c>
      <c r="T61" s="16">
        <v>131.0</v>
      </c>
      <c r="X61" s="16">
        <v>132.0</v>
      </c>
      <c r="Y61" s="16">
        <v>133.0</v>
      </c>
      <c r="Z61" s="16">
        <v>134.0</v>
      </c>
      <c r="AA61" s="23">
        <v>135.0</v>
      </c>
      <c r="AB61" s="16">
        <v>136.0</v>
      </c>
      <c r="AF61" s="16">
        <v>137.0</v>
      </c>
      <c r="AG61" s="16">
        <v>138.0</v>
      </c>
      <c r="AH61" s="16">
        <v>139.0</v>
      </c>
      <c r="AI61" s="61">
        <v>140.0</v>
      </c>
    </row>
    <row r="62">
      <c r="B62" s="60">
        <v>22.0</v>
      </c>
      <c r="C62" s="23" t="s">
        <v>167</v>
      </c>
      <c r="D62" s="16">
        <v>141.0</v>
      </c>
      <c r="H62" s="16">
        <v>142.0</v>
      </c>
      <c r="I62" s="16">
        <v>143.0</v>
      </c>
      <c r="J62" s="16">
        <v>144.0</v>
      </c>
      <c r="K62" s="23">
        <v>145.0</v>
      </c>
      <c r="L62" s="16">
        <v>146.0</v>
      </c>
      <c r="P62" s="16">
        <v>147.0</v>
      </c>
      <c r="Q62" s="16">
        <v>148.0</v>
      </c>
      <c r="R62" s="16">
        <v>149.0</v>
      </c>
      <c r="S62" s="23">
        <v>150.0</v>
      </c>
      <c r="T62" s="16">
        <v>151.0</v>
      </c>
      <c r="X62" s="16">
        <v>152.0</v>
      </c>
      <c r="Y62" s="16">
        <v>153.0</v>
      </c>
      <c r="Z62" s="16">
        <v>154.0</v>
      </c>
      <c r="AA62" s="23">
        <v>155.0</v>
      </c>
      <c r="AB62" s="16">
        <v>156.0</v>
      </c>
      <c r="AF62" s="16">
        <v>157.0</v>
      </c>
      <c r="AG62" s="16">
        <v>158.0</v>
      </c>
      <c r="AH62" s="16">
        <v>159.0</v>
      </c>
      <c r="AI62" s="61">
        <v>160.0</v>
      </c>
    </row>
    <row r="63">
      <c r="B63" s="60">
        <v>23.0</v>
      </c>
      <c r="C63" s="23" t="s">
        <v>167</v>
      </c>
      <c r="D63" s="16">
        <v>161.0</v>
      </c>
      <c r="H63" s="16">
        <v>162.0</v>
      </c>
      <c r="I63" s="16">
        <v>163.0</v>
      </c>
      <c r="J63" s="16">
        <v>164.0</v>
      </c>
      <c r="K63" s="23">
        <v>165.0</v>
      </c>
      <c r="L63" s="16">
        <v>166.0</v>
      </c>
      <c r="P63" s="16">
        <v>167.0</v>
      </c>
      <c r="Q63" s="16">
        <v>168.0</v>
      </c>
      <c r="R63" s="16">
        <v>169.0</v>
      </c>
      <c r="S63" s="23">
        <v>170.0</v>
      </c>
      <c r="T63" s="16">
        <v>171.0</v>
      </c>
      <c r="X63" s="16">
        <v>172.0</v>
      </c>
      <c r="Y63" s="16">
        <v>173.0</v>
      </c>
      <c r="Z63" s="16">
        <v>174.0</v>
      </c>
      <c r="AA63" s="23">
        <v>175.0</v>
      </c>
      <c r="AB63" s="16">
        <v>176.0</v>
      </c>
      <c r="AF63" s="16">
        <v>177.0</v>
      </c>
      <c r="AG63" s="16">
        <v>178.0</v>
      </c>
      <c r="AH63" s="16">
        <v>179.0</v>
      </c>
      <c r="AI63" s="61">
        <v>180.0</v>
      </c>
    </row>
    <row r="64">
      <c r="B64" s="60">
        <v>24.0</v>
      </c>
      <c r="C64" s="23" t="s">
        <v>167</v>
      </c>
      <c r="D64" s="16">
        <v>181.0</v>
      </c>
      <c r="H64" s="16">
        <v>182.0</v>
      </c>
      <c r="K64" s="63"/>
      <c r="L64" s="16">
        <v>183.0</v>
      </c>
      <c r="P64" s="16">
        <v>184.0</v>
      </c>
      <c r="S64" s="63"/>
      <c r="T64" s="16">
        <v>185.0</v>
      </c>
      <c r="X64" s="16">
        <v>186.0</v>
      </c>
      <c r="AA64" s="63"/>
      <c r="AB64" s="16">
        <v>187.0</v>
      </c>
      <c r="AF64" s="16">
        <v>188.0</v>
      </c>
      <c r="AI64" s="77"/>
    </row>
    <row r="65">
      <c r="B65" s="60">
        <v>25.0</v>
      </c>
      <c r="C65" s="23" t="s">
        <v>167</v>
      </c>
      <c r="D65" s="16">
        <v>189.0</v>
      </c>
      <c r="H65" s="16">
        <v>190.0</v>
      </c>
      <c r="I65" s="16">
        <v>191.0</v>
      </c>
      <c r="J65" s="16">
        <v>192.0</v>
      </c>
      <c r="K65" s="63"/>
      <c r="L65" s="16">
        <v>193.0</v>
      </c>
      <c r="P65" s="16">
        <v>194.0</v>
      </c>
      <c r="Q65" s="16">
        <v>195.0</v>
      </c>
      <c r="R65" s="16">
        <v>196.0</v>
      </c>
      <c r="S65" s="63"/>
      <c r="T65" s="16">
        <v>197.0</v>
      </c>
      <c r="X65" s="16">
        <v>198.0</v>
      </c>
      <c r="Y65" s="16">
        <v>199.0</v>
      </c>
      <c r="Z65" s="16">
        <v>200.0</v>
      </c>
      <c r="AA65" s="63"/>
      <c r="AB65" s="16">
        <v>201.0</v>
      </c>
      <c r="AF65" s="16">
        <v>202.0</v>
      </c>
      <c r="AG65" s="16">
        <v>203.0</v>
      </c>
      <c r="AH65" s="16">
        <v>204.0</v>
      </c>
      <c r="AI65" s="77"/>
    </row>
    <row r="66">
      <c r="B66" s="60">
        <v>26.0</v>
      </c>
      <c r="C66" s="23" t="s">
        <v>167</v>
      </c>
      <c r="D66" s="16">
        <v>205.0</v>
      </c>
      <c r="H66" s="16">
        <v>206.0</v>
      </c>
      <c r="I66" s="16">
        <v>207.0</v>
      </c>
      <c r="J66" s="16">
        <v>208.0</v>
      </c>
      <c r="K66" s="63"/>
      <c r="L66" s="16">
        <v>209.0</v>
      </c>
      <c r="P66" s="16">
        <v>210.0</v>
      </c>
      <c r="Q66" s="16">
        <v>211.0</v>
      </c>
      <c r="R66" s="16">
        <v>212.0</v>
      </c>
      <c r="S66" s="63"/>
      <c r="T66" s="16">
        <v>213.0</v>
      </c>
      <c r="X66" s="16">
        <v>214.0</v>
      </c>
      <c r="Y66" s="16">
        <v>215.0</v>
      </c>
      <c r="Z66" s="16">
        <v>216.0</v>
      </c>
      <c r="AA66" s="63"/>
      <c r="AB66" s="16">
        <v>217.0</v>
      </c>
      <c r="AF66" s="16">
        <v>218.0</v>
      </c>
      <c r="AG66" s="16">
        <v>219.0</v>
      </c>
      <c r="AH66" s="16">
        <v>220.0</v>
      </c>
      <c r="AI66" s="77"/>
    </row>
    <row r="67">
      <c r="B67" s="60">
        <v>27.0</v>
      </c>
      <c r="C67" s="23" t="s">
        <v>167</v>
      </c>
      <c r="D67" s="16">
        <v>221.0</v>
      </c>
      <c r="H67" s="16">
        <v>222.0</v>
      </c>
      <c r="I67" s="16">
        <v>223.0</v>
      </c>
      <c r="J67" s="16">
        <v>224.0</v>
      </c>
      <c r="K67" s="63"/>
      <c r="L67" s="16">
        <v>225.0</v>
      </c>
      <c r="P67" s="16">
        <v>226.0</v>
      </c>
      <c r="Q67" s="16">
        <v>227.0</v>
      </c>
      <c r="R67" s="16">
        <v>228.0</v>
      </c>
      <c r="S67" s="63"/>
      <c r="T67" s="16">
        <v>229.0</v>
      </c>
      <c r="X67" s="16">
        <v>230.0</v>
      </c>
      <c r="Y67" s="16">
        <v>231.0</v>
      </c>
      <c r="Z67" s="16">
        <v>232.0</v>
      </c>
      <c r="AA67" s="63"/>
      <c r="AB67" s="16">
        <v>233.0</v>
      </c>
      <c r="AF67" s="16">
        <v>234.0</v>
      </c>
      <c r="AG67" s="16">
        <v>235.0</v>
      </c>
      <c r="AH67" s="16">
        <v>236.0</v>
      </c>
      <c r="AI67" s="77"/>
    </row>
    <row r="68">
      <c r="B68" s="60">
        <v>28.0</v>
      </c>
      <c r="C68" s="23" t="s">
        <v>167</v>
      </c>
      <c r="D68" s="16">
        <v>237.0</v>
      </c>
      <c r="H68" s="16">
        <v>238.0</v>
      </c>
      <c r="I68" s="16">
        <v>239.0</v>
      </c>
      <c r="J68" s="16">
        <v>240.0</v>
      </c>
      <c r="K68" s="63"/>
      <c r="L68" s="16">
        <v>241.0</v>
      </c>
      <c r="P68" s="16">
        <v>242.0</v>
      </c>
      <c r="Q68" s="16">
        <v>243.0</v>
      </c>
      <c r="R68" s="16">
        <v>244.0</v>
      </c>
      <c r="S68" s="63"/>
      <c r="T68" s="16">
        <v>245.0</v>
      </c>
      <c r="X68" s="16">
        <v>246.0</v>
      </c>
      <c r="Y68" s="16">
        <v>247.0</v>
      </c>
      <c r="Z68" s="16">
        <v>248.0</v>
      </c>
      <c r="AA68" s="63"/>
      <c r="AB68" s="16">
        <v>249.0</v>
      </c>
      <c r="AF68" s="16">
        <v>250.0</v>
      </c>
      <c r="AG68" s="16">
        <v>251.0</v>
      </c>
      <c r="AH68" s="16">
        <v>252.0</v>
      </c>
      <c r="AI68" s="77"/>
    </row>
    <row r="69">
      <c r="B69" s="60">
        <v>29.0</v>
      </c>
      <c r="C69" s="23" t="s">
        <v>167</v>
      </c>
      <c r="D69" s="16">
        <v>253.0</v>
      </c>
      <c r="H69" s="16">
        <v>254.0</v>
      </c>
      <c r="I69" s="16">
        <v>255.0</v>
      </c>
      <c r="J69" s="16">
        <v>256.0</v>
      </c>
      <c r="K69" s="23">
        <v>257.0</v>
      </c>
      <c r="L69" s="16">
        <v>258.0</v>
      </c>
      <c r="P69" s="16">
        <v>259.0</v>
      </c>
      <c r="Q69" s="16">
        <v>260.0</v>
      </c>
      <c r="R69" s="16">
        <v>261.0</v>
      </c>
      <c r="S69" s="23">
        <v>262.0</v>
      </c>
      <c r="T69" s="16">
        <v>263.0</v>
      </c>
      <c r="X69" s="16">
        <v>264.0</v>
      </c>
      <c r="Y69" s="16">
        <v>265.0</v>
      </c>
      <c r="Z69" s="16">
        <v>266.0</v>
      </c>
      <c r="AA69" s="23">
        <v>267.0</v>
      </c>
      <c r="AB69" s="16">
        <v>268.0</v>
      </c>
      <c r="AF69" s="16">
        <v>269.0</v>
      </c>
      <c r="AG69" s="16">
        <v>270.0</v>
      </c>
      <c r="AH69" s="16">
        <v>271.0</v>
      </c>
      <c r="AI69" s="61">
        <v>272.0</v>
      </c>
    </row>
    <row r="70">
      <c r="B70" s="60">
        <v>30.0</v>
      </c>
      <c r="C70" s="23" t="s">
        <v>167</v>
      </c>
      <c r="D70" s="16">
        <v>273.0</v>
      </c>
      <c r="H70" s="16">
        <v>274.0</v>
      </c>
      <c r="I70" s="16">
        <v>275.0</v>
      </c>
      <c r="J70" s="16">
        <v>276.0</v>
      </c>
      <c r="K70" s="23">
        <v>277.0</v>
      </c>
      <c r="L70" s="16">
        <v>278.0</v>
      </c>
      <c r="P70" s="16">
        <v>279.0</v>
      </c>
      <c r="Q70" s="16">
        <v>280.0</v>
      </c>
      <c r="R70" s="16">
        <v>281.0</v>
      </c>
      <c r="S70" s="23">
        <v>282.0</v>
      </c>
      <c r="T70" s="16">
        <v>283.0</v>
      </c>
      <c r="X70" s="16">
        <v>284.0</v>
      </c>
      <c r="Y70" s="16">
        <v>285.0</v>
      </c>
      <c r="Z70" s="16">
        <v>286.0</v>
      </c>
      <c r="AA70" s="23">
        <v>287.0</v>
      </c>
      <c r="AB70" s="16">
        <v>288.0</v>
      </c>
      <c r="AF70" s="16">
        <v>289.0</v>
      </c>
      <c r="AG70" s="16">
        <v>290.0</v>
      </c>
      <c r="AH70" s="16">
        <v>291.0</v>
      </c>
      <c r="AI70" s="61">
        <v>292.0</v>
      </c>
    </row>
    <row r="71">
      <c r="B71" s="60">
        <v>31.0</v>
      </c>
      <c r="C71" s="23" t="s">
        <v>167</v>
      </c>
      <c r="D71" s="16">
        <v>293.0</v>
      </c>
      <c r="H71" s="16">
        <v>294.0</v>
      </c>
      <c r="I71" s="16">
        <v>295.0</v>
      </c>
      <c r="J71" s="16">
        <v>296.0</v>
      </c>
      <c r="K71" s="23">
        <v>297.0</v>
      </c>
      <c r="L71" s="16">
        <v>298.0</v>
      </c>
      <c r="P71" s="16">
        <v>299.0</v>
      </c>
      <c r="Q71" s="16">
        <v>300.0</v>
      </c>
      <c r="R71" s="16">
        <v>301.0</v>
      </c>
      <c r="S71" s="23">
        <v>302.0</v>
      </c>
      <c r="T71" s="16">
        <v>303.0</v>
      </c>
      <c r="X71" s="16">
        <v>304.0</v>
      </c>
      <c r="Y71" s="16">
        <v>305.0</v>
      </c>
      <c r="Z71" s="16">
        <v>306.0</v>
      </c>
      <c r="AA71" s="23">
        <v>307.0</v>
      </c>
      <c r="AB71" s="16">
        <v>308.0</v>
      </c>
      <c r="AF71" s="16">
        <v>309.0</v>
      </c>
      <c r="AG71" s="16">
        <v>310.0</v>
      </c>
      <c r="AH71" s="16">
        <v>311.0</v>
      </c>
      <c r="AI71" s="61">
        <v>312.0</v>
      </c>
    </row>
    <row r="72">
      <c r="B72" s="60">
        <v>32.0</v>
      </c>
      <c r="C72" s="23" t="s">
        <v>167</v>
      </c>
      <c r="D72" s="16">
        <v>313.0</v>
      </c>
      <c r="H72" s="16">
        <v>314.0</v>
      </c>
      <c r="I72" s="16">
        <v>315.0</v>
      </c>
      <c r="K72" s="63"/>
      <c r="L72" s="16">
        <v>316.0</v>
      </c>
      <c r="P72" s="16">
        <v>317.0</v>
      </c>
      <c r="Q72" s="16">
        <v>318.0</v>
      </c>
      <c r="S72" s="63"/>
      <c r="T72" s="16">
        <v>319.0</v>
      </c>
      <c r="X72" s="16">
        <v>320.0</v>
      </c>
      <c r="Y72" s="16">
        <v>321.0</v>
      </c>
      <c r="AA72" s="63"/>
      <c r="AB72" s="16">
        <v>322.0</v>
      </c>
      <c r="AF72" s="16">
        <v>323.0</v>
      </c>
      <c r="AG72" s="16">
        <v>324.0</v>
      </c>
      <c r="AI72" s="77"/>
    </row>
    <row r="73">
      <c r="B73" s="60">
        <v>33.0</v>
      </c>
      <c r="C73" s="23" t="s">
        <v>167</v>
      </c>
      <c r="D73" s="16">
        <v>325.0</v>
      </c>
      <c r="H73" s="16">
        <v>326.0</v>
      </c>
      <c r="I73" s="16">
        <v>327.0</v>
      </c>
      <c r="K73" s="63"/>
      <c r="L73" s="16">
        <v>328.0</v>
      </c>
      <c r="P73" s="16">
        <v>329.0</v>
      </c>
      <c r="Q73" s="16">
        <v>330.0</v>
      </c>
      <c r="S73" s="63"/>
      <c r="T73" s="16">
        <v>331.0</v>
      </c>
      <c r="X73" s="16">
        <v>331.0</v>
      </c>
      <c r="Y73" s="16">
        <v>332.0</v>
      </c>
      <c r="AA73" s="63"/>
      <c r="AB73" s="16">
        <v>333.0</v>
      </c>
      <c r="AF73" s="16">
        <v>333.0</v>
      </c>
      <c r="AG73" s="16">
        <v>334.0</v>
      </c>
      <c r="AI73" s="77"/>
    </row>
    <row r="74">
      <c r="B74" s="60">
        <v>34.0</v>
      </c>
      <c r="C74" s="23" t="s">
        <v>167</v>
      </c>
      <c r="D74" s="16">
        <v>335.0</v>
      </c>
      <c r="K74" s="63"/>
      <c r="S74" s="63"/>
      <c r="AA74" s="63"/>
      <c r="AI74" s="77"/>
    </row>
    <row r="75">
      <c r="B75" s="60">
        <v>35.0</v>
      </c>
      <c r="C75" s="23" t="s">
        <v>167</v>
      </c>
      <c r="D75" s="16">
        <v>335.0</v>
      </c>
      <c r="K75" s="63"/>
      <c r="S75" s="63"/>
      <c r="AA75" s="63"/>
      <c r="AI75" s="77"/>
    </row>
    <row r="76">
      <c r="B76" s="60">
        <v>36.0</v>
      </c>
      <c r="C76" s="23" t="s">
        <v>167</v>
      </c>
      <c r="D76" s="16">
        <v>335.0</v>
      </c>
      <c r="K76" s="23"/>
      <c r="S76" s="23"/>
      <c r="AA76" s="63"/>
      <c r="AI76" s="77"/>
    </row>
    <row r="77">
      <c r="B77" s="60">
        <v>37.0</v>
      </c>
      <c r="C77" s="23" t="s">
        <v>492</v>
      </c>
      <c r="D77" s="16">
        <v>336.0</v>
      </c>
      <c r="K77" s="63"/>
      <c r="L77" s="16">
        <v>337.0</v>
      </c>
      <c r="S77" s="63"/>
      <c r="T77" s="16">
        <v>338.0</v>
      </c>
      <c r="AA77" s="63"/>
      <c r="AI77" s="77"/>
    </row>
    <row r="78">
      <c r="B78" s="60">
        <v>38.0</v>
      </c>
      <c r="C78" s="23" t="s">
        <v>595</v>
      </c>
      <c r="D78" s="16">
        <v>339.0</v>
      </c>
      <c r="K78" s="63"/>
      <c r="S78" s="63"/>
      <c r="AA78" s="63"/>
      <c r="AI78" s="77"/>
    </row>
    <row r="79">
      <c r="B79" s="60">
        <v>39.0</v>
      </c>
      <c r="C79" s="23" t="s">
        <v>596</v>
      </c>
      <c r="D79" s="16">
        <v>340.0</v>
      </c>
      <c r="K79" s="63"/>
      <c r="S79" s="63"/>
      <c r="AA79" s="63"/>
      <c r="AI79" s="77"/>
    </row>
    <row r="80">
      <c r="B80" s="60">
        <v>40.0</v>
      </c>
      <c r="C80" s="23" t="s">
        <v>597</v>
      </c>
      <c r="D80" s="16">
        <v>341.0</v>
      </c>
      <c r="K80" s="63"/>
      <c r="S80" s="63"/>
      <c r="AA80" s="63"/>
      <c r="AI80" s="77"/>
    </row>
    <row r="81">
      <c r="B81" s="60">
        <v>41.0</v>
      </c>
      <c r="C81" s="23" t="s">
        <v>598</v>
      </c>
      <c r="D81" s="16">
        <v>342.0</v>
      </c>
      <c r="K81" s="23"/>
      <c r="S81" s="23"/>
      <c r="AA81" s="63"/>
      <c r="AI81" s="77"/>
    </row>
    <row r="82">
      <c r="B82" s="60">
        <v>42.0</v>
      </c>
      <c r="C82" s="23" t="s">
        <v>599</v>
      </c>
      <c r="D82" s="16">
        <v>343.0</v>
      </c>
      <c r="K82" s="23"/>
      <c r="S82" s="23"/>
      <c r="AA82" s="63"/>
      <c r="AI82" s="77"/>
    </row>
    <row r="83">
      <c r="B83" s="60">
        <v>43.0</v>
      </c>
      <c r="C83" s="23" t="s">
        <v>600</v>
      </c>
      <c r="D83" s="16">
        <v>344.0</v>
      </c>
      <c r="K83" s="63"/>
      <c r="S83" s="63"/>
      <c r="AA83" s="63"/>
      <c r="AI83" s="77"/>
    </row>
    <row r="84">
      <c r="B84" s="60">
        <v>44.0</v>
      </c>
      <c r="C84" s="23" t="s">
        <v>601</v>
      </c>
      <c r="D84" s="16">
        <v>345.0</v>
      </c>
      <c r="K84" s="63"/>
      <c r="S84" s="63"/>
      <c r="AA84" s="63"/>
      <c r="AI84" s="77"/>
    </row>
    <row r="85">
      <c r="B85" s="60">
        <v>45.0</v>
      </c>
      <c r="C85" s="23" t="s">
        <v>602</v>
      </c>
      <c r="D85" s="16">
        <v>346.0</v>
      </c>
      <c r="K85" s="63"/>
      <c r="S85" s="63"/>
      <c r="AA85" s="63"/>
      <c r="AI85" s="77"/>
    </row>
    <row r="86">
      <c r="B86" s="78">
        <v>46.0</v>
      </c>
      <c r="C86" s="71" t="s">
        <v>304</v>
      </c>
      <c r="D86" s="72">
        <v>347.0</v>
      </c>
      <c r="E86" s="79"/>
      <c r="F86" s="79"/>
      <c r="G86" s="79"/>
      <c r="H86" s="72">
        <v>348.0</v>
      </c>
      <c r="I86" s="79"/>
      <c r="J86" s="79"/>
      <c r="K86" s="80"/>
      <c r="L86" s="72">
        <v>349.0</v>
      </c>
      <c r="M86" s="79"/>
      <c r="N86" s="79"/>
      <c r="O86" s="79"/>
      <c r="P86" s="72">
        <v>350.0</v>
      </c>
      <c r="Q86" s="79"/>
      <c r="R86" s="79"/>
      <c r="S86" s="80"/>
      <c r="T86" s="79"/>
      <c r="U86" s="79"/>
      <c r="V86" s="79"/>
      <c r="W86" s="79"/>
      <c r="X86" s="79"/>
      <c r="Y86" s="79"/>
      <c r="Z86" s="79"/>
      <c r="AA86" s="80"/>
      <c r="AB86" s="72">
        <v>351.0</v>
      </c>
      <c r="AC86" s="79"/>
      <c r="AD86" s="79"/>
      <c r="AE86" s="79"/>
      <c r="AF86" s="72">
        <v>352.0</v>
      </c>
      <c r="AG86" s="79"/>
      <c r="AH86" s="79"/>
      <c r="AI86" s="81"/>
    </row>
    <row r="87">
      <c r="B87" s="60">
        <v>47.0</v>
      </c>
      <c r="C87" s="23" t="s">
        <v>493</v>
      </c>
      <c r="K87" s="23"/>
      <c r="S87" s="63"/>
      <c r="AA87" s="23"/>
      <c r="AI87" s="77"/>
    </row>
    <row r="88">
      <c r="B88" s="60">
        <v>48.0</v>
      </c>
      <c r="C88" s="23" t="s">
        <v>603</v>
      </c>
      <c r="K88" s="63"/>
      <c r="S88" s="63"/>
      <c r="AA88" s="63"/>
      <c r="AI88" s="77"/>
    </row>
    <row r="89">
      <c r="B89" s="60">
        <v>49.0</v>
      </c>
      <c r="C89" s="23" t="s">
        <v>494</v>
      </c>
      <c r="K89" s="63"/>
      <c r="S89" s="63"/>
      <c r="AA89" s="63"/>
      <c r="AI89" s="77"/>
    </row>
    <row r="90">
      <c r="B90" s="60">
        <v>50.0</v>
      </c>
      <c r="C90" s="23" t="s">
        <v>604</v>
      </c>
      <c r="K90" s="63"/>
      <c r="S90" s="63"/>
      <c r="AA90" s="63"/>
      <c r="AI90" s="77"/>
    </row>
    <row r="91">
      <c r="B91" s="60">
        <v>51.0</v>
      </c>
      <c r="C91" s="23" t="s">
        <v>605</v>
      </c>
      <c r="K91" s="63"/>
      <c r="S91" s="63"/>
      <c r="AA91" s="63"/>
      <c r="AI91" s="77"/>
    </row>
    <row r="92">
      <c r="B92" s="60">
        <v>52.0</v>
      </c>
      <c r="C92" s="23" t="s">
        <v>606</v>
      </c>
      <c r="K92" s="63"/>
      <c r="S92" s="63"/>
      <c r="AA92" s="63"/>
      <c r="AI92" s="77"/>
    </row>
    <row r="93">
      <c r="B93" s="60">
        <v>53.0</v>
      </c>
      <c r="C93" s="23" t="s">
        <v>607</v>
      </c>
      <c r="K93" s="63"/>
      <c r="S93" s="63"/>
      <c r="AA93" s="63"/>
      <c r="AI93" s="77"/>
    </row>
    <row r="94">
      <c r="B94" s="60">
        <v>54.0</v>
      </c>
      <c r="C94" s="23" t="s">
        <v>608</v>
      </c>
      <c r="K94" s="63"/>
      <c r="S94" s="63"/>
      <c r="AA94" s="63"/>
      <c r="AI94" s="77"/>
    </row>
    <row r="95">
      <c r="B95" s="60">
        <v>55.0</v>
      </c>
      <c r="C95" s="23" t="s">
        <v>288</v>
      </c>
      <c r="K95" s="63"/>
      <c r="S95" s="63"/>
      <c r="AA95" s="63"/>
      <c r="AI95" s="77"/>
    </row>
    <row r="96">
      <c r="B96" s="60">
        <v>56.0</v>
      </c>
      <c r="C96" s="23" t="s">
        <v>609</v>
      </c>
      <c r="K96" s="63"/>
      <c r="S96" s="63"/>
      <c r="AA96" s="63"/>
      <c r="AI96" s="77"/>
    </row>
    <row r="97">
      <c r="B97" s="60">
        <v>57.0</v>
      </c>
      <c r="C97" s="23" t="s">
        <v>610</v>
      </c>
      <c r="K97" s="23"/>
      <c r="S97" s="23"/>
      <c r="AA97" s="63"/>
      <c r="AI97" s="77"/>
    </row>
    <row r="98">
      <c r="B98" s="60">
        <v>58.0</v>
      </c>
      <c r="C98" s="23" t="s">
        <v>347</v>
      </c>
      <c r="K98" s="63"/>
      <c r="S98" s="63"/>
      <c r="AA98" s="63"/>
      <c r="AI98" s="77"/>
    </row>
    <row r="99">
      <c r="B99" s="60">
        <v>59.0</v>
      </c>
      <c r="C99" s="23" t="s">
        <v>611</v>
      </c>
      <c r="K99" s="63"/>
      <c r="S99" s="63"/>
      <c r="AA99" s="63"/>
      <c r="AI99" s="77"/>
    </row>
    <row r="100">
      <c r="B100" s="60">
        <v>60.0</v>
      </c>
      <c r="C100" s="23" t="s">
        <v>203</v>
      </c>
      <c r="K100" s="63"/>
      <c r="S100" s="63"/>
      <c r="AA100" s="63"/>
      <c r="AI100" s="77"/>
    </row>
    <row r="101">
      <c r="B101" s="60">
        <v>61.0</v>
      </c>
      <c r="C101" s="23" t="s">
        <v>612</v>
      </c>
      <c r="K101" s="63"/>
      <c r="S101" s="63"/>
      <c r="AA101" s="63"/>
      <c r="AI101" s="77"/>
    </row>
    <row r="102">
      <c r="B102" s="60">
        <v>62.0</v>
      </c>
      <c r="C102" s="23" t="s">
        <v>217</v>
      </c>
      <c r="K102" s="63"/>
      <c r="S102" s="63"/>
      <c r="AA102" s="63"/>
      <c r="AI102" s="77"/>
    </row>
    <row r="103">
      <c r="B103" s="60">
        <v>63.0</v>
      </c>
      <c r="C103" s="23" t="s">
        <v>222</v>
      </c>
      <c r="K103" s="63"/>
      <c r="S103" s="63"/>
      <c r="AA103" s="63"/>
      <c r="AI103" s="77"/>
    </row>
    <row r="104">
      <c r="B104" s="60">
        <v>64.0</v>
      </c>
      <c r="C104" s="23" t="s">
        <v>499</v>
      </c>
      <c r="K104" s="63"/>
      <c r="S104" s="63"/>
      <c r="AA104" s="63"/>
      <c r="AI104" s="77"/>
    </row>
    <row r="105">
      <c r="B105" s="60">
        <v>65.0</v>
      </c>
      <c r="C105" s="23" t="s">
        <v>500</v>
      </c>
      <c r="K105" s="63"/>
      <c r="S105" s="63"/>
      <c r="AA105" s="63"/>
      <c r="AI105" s="77"/>
    </row>
    <row r="106">
      <c r="B106" s="60">
        <v>66.0</v>
      </c>
      <c r="C106" s="23" t="s">
        <v>30</v>
      </c>
      <c r="K106" s="63"/>
      <c r="S106" s="63"/>
      <c r="AA106" s="63"/>
      <c r="AI106" s="77"/>
    </row>
    <row r="107">
      <c r="B107" s="60">
        <v>67.0</v>
      </c>
      <c r="C107" s="23" t="s">
        <v>33</v>
      </c>
      <c r="K107" s="63"/>
      <c r="S107" s="63"/>
      <c r="AA107" s="63"/>
      <c r="AI107" s="77"/>
    </row>
    <row r="108">
      <c r="B108" s="60">
        <v>68.0</v>
      </c>
      <c r="C108" s="23" t="s">
        <v>239</v>
      </c>
      <c r="K108" s="63"/>
      <c r="S108" s="63"/>
      <c r="AA108" s="63"/>
      <c r="AI108" s="77"/>
    </row>
    <row r="109">
      <c r="B109" s="60">
        <v>69.0</v>
      </c>
      <c r="C109" s="23" t="s">
        <v>501</v>
      </c>
      <c r="K109" s="63"/>
      <c r="S109" s="63"/>
      <c r="AA109" s="63"/>
      <c r="AI109" s="77"/>
    </row>
    <row r="110">
      <c r="B110" s="60">
        <v>70.0</v>
      </c>
      <c r="C110" s="23" t="s">
        <v>502</v>
      </c>
      <c r="K110" s="63"/>
      <c r="S110" s="63"/>
      <c r="AA110" s="63"/>
      <c r="AI110" s="77"/>
    </row>
    <row r="111">
      <c r="B111" s="60">
        <v>71.0</v>
      </c>
      <c r="C111" s="23" t="s">
        <v>247</v>
      </c>
      <c r="K111" s="63"/>
      <c r="S111" s="63"/>
      <c r="AA111" s="63"/>
      <c r="AI111" s="77"/>
    </row>
    <row r="112">
      <c r="B112" s="60">
        <v>72.0</v>
      </c>
      <c r="C112" s="23" t="s">
        <v>250</v>
      </c>
      <c r="K112" s="63"/>
      <c r="S112" s="63"/>
      <c r="AA112" s="63"/>
      <c r="AI112" s="77"/>
    </row>
    <row r="113">
      <c r="B113" s="60">
        <v>73.0</v>
      </c>
      <c r="C113" s="23" t="s">
        <v>45</v>
      </c>
      <c r="K113" s="63"/>
      <c r="S113" s="63"/>
      <c r="AA113" s="63"/>
      <c r="AI113" s="77"/>
    </row>
    <row r="114">
      <c r="B114" s="60">
        <v>74.0</v>
      </c>
      <c r="C114" s="23" t="s">
        <v>504</v>
      </c>
      <c r="K114" s="63"/>
      <c r="S114" s="63"/>
      <c r="AA114" s="63"/>
      <c r="AI114" s="77"/>
    </row>
    <row r="115">
      <c r="B115" s="60">
        <v>75.0</v>
      </c>
      <c r="C115" s="23" t="s">
        <v>257</v>
      </c>
      <c r="K115" s="63"/>
      <c r="S115" s="63"/>
      <c r="AA115" s="63"/>
      <c r="AI115" s="77"/>
    </row>
    <row r="116">
      <c r="B116" s="60">
        <v>76.0</v>
      </c>
      <c r="C116" s="23" t="s">
        <v>260</v>
      </c>
      <c r="K116" s="63"/>
      <c r="S116" s="63"/>
      <c r="AA116" s="63"/>
      <c r="AI116" s="77"/>
    </row>
    <row r="117">
      <c r="B117" s="60">
        <v>77.0</v>
      </c>
      <c r="C117" s="23" t="s">
        <v>262</v>
      </c>
      <c r="K117" s="63"/>
      <c r="S117" s="63"/>
      <c r="AA117" s="63"/>
      <c r="AI117" s="77"/>
    </row>
    <row r="118">
      <c r="B118" s="60">
        <v>78.0</v>
      </c>
      <c r="C118" s="23" t="s">
        <v>263</v>
      </c>
      <c r="K118" s="63"/>
      <c r="S118" s="63"/>
      <c r="AA118" s="63"/>
      <c r="AI118" s="77"/>
    </row>
    <row r="119">
      <c r="B119" s="60">
        <v>79.0</v>
      </c>
      <c r="C119" s="23" t="s">
        <v>264</v>
      </c>
      <c r="K119" s="63"/>
      <c r="S119" s="63"/>
      <c r="AA119" s="63"/>
      <c r="AI119" s="77"/>
    </row>
    <row r="120">
      <c r="B120" s="60">
        <v>80.0</v>
      </c>
      <c r="C120" s="23" t="s">
        <v>265</v>
      </c>
      <c r="K120" s="63"/>
      <c r="S120" s="63"/>
      <c r="AA120" s="63"/>
      <c r="AI120" s="77"/>
    </row>
    <row r="121">
      <c r="B121" s="60">
        <v>81.0</v>
      </c>
      <c r="C121" s="23" t="s">
        <v>266</v>
      </c>
      <c r="K121" s="63"/>
      <c r="S121" s="63"/>
      <c r="AA121" s="63"/>
      <c r="AI121" s="77"/>
    </row>
    <row r="122">
      <c r="B122" s="60">
        <v>82.0</v>
      </c>
      <c r="C122" s="23" t="s">
        <v>269</v>
      </c>
      <c r="K122" s="63"/>
      <c r="S122" s="63"/>
      <c r="AA122" s="63"/>
      <c r="AI122" s="77"/>
    </row>
    <row r="123">
      <c r="B123" s="60">
        <v>83.0</v>
      </c>
      <c r="C123" s="23" t="s">
        <v>613</v>
      </c>
      <c r="K123" s="63"/>
      <c r="S123" s="63"/>
      <c r="AA123" s="63"/>
      <c r="AI123" s="77"/>
    </row>
    <row r="124">
      <c r="B124" s="60">
        <v>84.0</v>
      </c>
      <c r="C124" s="23" t="s">
        <v>614</v>
      </c>
      <c r="K124" s="63"/>
      <c r="S124" s="63"/>
      <c r="AA124" s="63"/>
      <c r="AI124" s="77"/>
    </row>
    <row r="125">
      <c r="B125" s="60">
        <v>85.0</v>
      </c>
      <c r="C125" s="23" t="s">
        <v>271</v>
      </c>
      <c r="K125" s="63"/>
      <c r="S125" s="63"/>
      <c r="AA125" s="63"/>
      <c r="AI125" s="77"/>
    </row>
    <row r="126">
      <c r="B126" s="60">
        <v>86.0</v>
      </c>
      <c r="C126" s="23" t="s">
        <v>272</v>
      </c>
      <c r="K126" s="63"/>
      <c r="S126" s="63"/>
      <c r="AA126" s="63"/>
      <c r="AI126" s="77"/>
    </row>
    <row r="127">
      <c r="B127" s="60">
        <v>87.0</v>
      </c>
      <c r="C127" s="23" t="s">
        <v>507</v>
      </c>
      <c r="K127" s="63"/>
      <c r="S127" s="63"/>
      <c r="AA127" s="63"/>
      <c r="AI127" s="77"/>
    </row>
    <row r="128">
      <c r="B128" s="60">
        <v>88.0</v>
      </c>
      <c r="C128" s="23" t="s">
        <v>276</v>
      </c>
      <c r="K128" s="63"/>
      <c r="S128" s="63"/>
      <c r="AA128" s="63"/>
      <c r="AI128" s="77"/>
    </row>
    <row r="129">
      <c r="B129" s="60">
        <v>89.0</v>
      </c>
      <c r="C129" s="23" t="s">
        <v>278</v>
      </c>
      <c r="K129" s="63"/>
      <c r="S129" s="63"/>
      <c r="AA129" s="63"/>
      <c r="AI129" s="77"/>
    </row>
    <row r="130">
      <c r="B130" s="60">
        <v>90.0</v>
      </c>
      <c r="C130" s="23" t="s">
        <v>279</v>
      </c>
      <c r="K130" s="63"/>
      <c r="S130" s="63"/>
      <c r="AA130" s="63"/>
      <c r="AI130" s="77"/>
    </row>
    <row r="131">
      <c r="B131" s="60">
        <v>91.0</v>
      </c>
      <c r="C131" s="23" t="s">
        <v>280</v>
      </c>
      <c r="K131" s="63"/>
      <c r="S131" s="63"/>
      <c r="AA131" s="63"/>
      <c r="AI131" s="77"/>
    </row>
    <row r="132">
      <c r="B132" s="60">
        <v>92.0</v>
      </c>
      <c r="C132" s="23" t="s">
        <v>282</v>
      </c>
      <c r="K132" s="63"/>
      <c r="S132" s="63"/>
      <c r="AA132" s="63"/>
      <c r="AI132" s="77"/>
    </row>
    <row r="133">
      <c r="B133" s="60">
        <v>93.0</v>
      </c>
      <c r="C133" s="23" t="s">
        <v>283</v>
      </c>
      <c r="K133" s="63"/>
      <c r="S133" s="63"/>
      <c r="AA133" s="63"/>
      <c r="AI133" s="77"/>
    </row>
    <row r="134">
      <c r="B134" s="60">
        <v>94.0</v>
      </c>
      <c r="C134" s="23" t="s">
        <v>615</v>
      </c>
      <c r="K134" s="63"/>
      <c r="S134" s="63"/>
      <c r="AA134" s="63"/>
      <c r="AI134" s="77"/>
    </row>
    <row r="135">
      <c r="B135" s="60">
        <v>95.0</v>
      </c>
      <c r="C135" s="23" t="s">
        <v>616</v>
      </c>
      <c r="K135" s="63"/>
      <c r="S135" s="63"/>
      <c r="AA135" s="63"/>
      <c r="AI135" s="77"/>
    </row>
    <row r="136">
      <c r="B136" s="60">
        <v>96.0</v>
      </c>
      <c r="C136" s="23" t="s">
        <v>510</v>
      </c>
      <c r="K136" s="63"/>
      <c r="S136" s="63"/>
      <c r="AA136" s="63"/>
      <c r="AI136" s="77"/>
    </row>
    <row r="137">
      <c r="B137" s="60">
        <v>97.0</v>
      </c>
      <c r="C137" s="23" t="s">
        <v>617</v>
      </c>
      <c r="K137" s="63"/>
      <c r="S137" s="63"/>
      <c r="AA137" s="63"/>
      <c r="AI137" s="77"/>
    </row>
    <row r="138">
      <c r="B138" s="60">
        <v>98.0</v>
      </c>
      <c r="C138" s="23" t="s">
        <v>87</v>
      </c>
      <c r="K138" s="63"/>
      <c r="S138" s="63"/>
      <c r="AA138" s="63"/>
      <c r="AI138" s="77"/>
    </row>
    <row r="139">
      <c r="B139" s="60">
        <v>99.0</v>
      </c>
      <c r="C139" s="23" t="s">
        <v>289</v>
      </c>
      <c r="K139" s="63"/>
      <c r="S139" s="63"/>
      <c r="AA139" s="63"/>
      <c r="AI139" s="77"/>
    </row>
    <row r="140">
      <c r="B140" s="60">
        <v>100.0</v>
      </c>
      <c r="C140" s="23" t="s">
        <v>290</v>
      </c>
      <c r="K140" s="63"/>
      <c r="S140" s="63"/>
      <c r="AA140" s="63"/>
      <c r="AI140" s="77"/>
    </row>
    <row r="141">
      <c r="B141" s="60">
        <v>101.0</v>
      </c>
      <c r="C141" s="23" t="s">
        <v>291</v>
      </c>
      <c r="K141" s="63"/>
      <c r="S141" s="63"/>
      <c r="AA141" s="63"/>
      <c r="AI141" s="77"/>
    </row>
    <row r="142">
      <c r="B142" s="60">
        <v>102.0</v>
      </c>
      <c r="C142" s="23" t="s">
        <v>513</v>
      </c>
      <c r="K142" s="63"/>
      <c r="S142" s="63"/>
      <c r="AA142" s="63"/>
      <c r="AI142" s="77"/>
    </row>
    <row r="143">
      <c r="B143" s="60">
        <v>103.0</v>
      </c>
      <c r="C143" s="23" t="s">
        <v>293</v>
      </c>
      <c r="K143" s="63"/>
      <c r="S143" s="63"/>
      <c r="AA143" s="63"/>
      <c r="AI143" s="77"/>
    </row>
    <row r="144">
      <c r="B144" s="60">
        <v>104.0</v>
      </c>
      <c r="C144" s="23" t="s">
        <v>294</v>
      </c>
      <c r="K144" s="63"/>
      <c r="S144" s="63"/>
      <c r="AA144" s="63"/>
      <c r="AI144" s="77"/>
    </row>
    <row r="145">
      <c r="B145" s="60">
        <v>105.0</v>
      </c>
      <c r="C145" s="23" t="s">
        <v>514</v>
      </c>
      <c r="K145" s="63"/>
      <c r="S145" s="63"/>
      <c r="AA145" s="63"/>
      <c r="AI145" s="77"/>
    </row>
    <row r="146">
      <c r="B146" s="60">
        <v>106.0</v>
      </c>
      <c r="C146" s="23" t="s">
        <v>515</v>
      </c>
      <c r="K146" s="63"/>
      <c r="S146" s="63"/>
      <c r="AA146" s="63"/>
      <c r="AI146" s="77"/>
    </row>
    <row r="147">
      <c r="B147" s="60">
        <v>107.0</v>
      </c>
      <c r="C147" s="23" t="s">
        <v>297</v>
      </c>
      <c r="K147" s="63"/>
      <c r="S147" s="63"/>
      <c r="AA147" s="63"/>
      <c r="AI147" s="77"/>
    </row>
    <row r="148">
      <c r="B148" s="60">
        <v>108.0</v>
      </c>
      <c r="C148" s="23" t="s">
        <v>516</v>
      </c>
      <c r="K148" s="63"/>
      <c r="S148" s="63"/>
      <c r="AA148" s="63"/>
      <c r="AI148" s="77"/>
    </row>
    <row r="149">
      <c r="B149" s="60">
        <v>109.0</v>
      </c>
      <c r="C149" s="23" t="s">
        <v>299</v>
      </c>
      <c r="K149" s="63"/>
      <c r="S149" s="63"/>
      <c r="AA149" s="63"/>
      <c r="AI149" s="77"/>
    </row>
    <row r="150">
      <c r="B150" s="60">
        <v>110.0</v>
      </c>
      <c r="C150" s="23" t="s">
        <v>300</v>
      </c>
      <c r="K150" s="63"/>
      <c r="S150" s="63"/>
      <c r="AA150" s="63"/>
      <c r="AI150" s="77"/>
    </row>
    <row r="151">
      <c r="B151" s="60">
        <v>111.0</v>
      </c>
      <c r="C151" s="23" t="s">
        <v>127</v>
      </c>
      <c r="K151" s="63"/>
      <c r="S151" s="63"/>
      <c r="AA151" s="63"/>
      <c r="AI151" s="77"/>
    </row>
    <row r="152">
      <c r="B152" s="60">
        <v>112.0</v>
      </c>
      <c r="C152" s="23" t="s">
        <v>302</v>
      </c>
      <c r="K152" s="63"/>
      <c r="S152" s="63"/>
      <c r="AA152" s="63"/>
      <c r="AI152" s="77"/>
    </row>
    <row r="153">
      <c r="B153" s="60">
        <v>113.0</v>
      </c>
      <c r="C153" s="23" t="s">
        <v>303</v>
      </c>
      <c r="K153" s="63"/>
      <c r="S153" s="63"/>
      <c r="AA153" s="63"/>
      <c r="AI153" s="77"/>
    </row>
    <row r="154">
      <c r="B154" s="60">
        <v>114.0</v>
      </c>
      <c r="C154" s="23" t="s">
        <v>304</v>
      </c>
      <c r="K154" s="63"/>
      <c r="S154" s="63"/>
      <c r="AA154" s="63"/>
      <c r="AI154" s="77"/>
    </row>
    <row r="155">
      <c r="B155" s="60">
        <v>115.0</v>
      </c>
      <c r="C155" s="23" t="s">
        <v>155</v>
      </c>
      <c r="K155" s="63"/>
      <c r="S155" s="63"/>
      <c r="AA155" s="63"/>
      <c r="AI155" s="77"/>
    </row>
    <row r="156">
      <c r="B156" s="60">
        <v>116.0</v>
      </c>
      <c r="C156" s="23" t="s">
        <v>518</v>
      </c>
      <c r="K156" s="63"/>
      <c r="S156" s="63"/>
      <c r="AA156" s="63"/>
      <c r="AI156" s="77"/>
    </row>
    <row r="157">
      <c r="B157" s="60">
        <v>117.0</v>
      </c>
      <c r="C157" s="23" t="s">
        <v>618</v>
      </c>
      <c r="K157" s="63"/>
      <c r="S157" s="63"/>
      <c r="AA157" s="63"/>
      <c r="AI157" s="77"/>
    </row>
    <row r="158">
      <c r="B158" s="60">
        <v>118.0</v>
      </c>
      <c r="C158" s="23" t="s">
        <v>619</v>
      </c>
      <c r="K158" s="63"/>
      <c r="S158" s="63"/>
      <c r="AA158" s="63"/>
      <c r="AI158" s="77"/>
    </row>
    <row r="159">
      <c r="B159" s="60">
        <v>119.0</v>
      </c>
      <c r="C159" s="23" t="s">
        <v>620</v>
      </c>
      <c r="K159" s="63"/>
      <c r="S159" s="63"/>
      <c r="AA159" s="63"/>
      <c r="AI159" s="77"/>
    </row>
    <row r="160">
      <c r="B160" s="60">
        <v>120.0</v>
      </c>
      <c r="C160" s="23" t="s">
        <v>308</v>
      </c>
      <c r="K160" s="63"/>
      <c r="S160" s="63"/>
      <c r="AA160" s="63"/>
      <c r="AI160" s="77"/>
    </row>
    <row r="161">
      <c r="B161" s="60">
        <v>121.0</v>
      </c>
      <c r="C161" s="23" t="s">
        <v>309</v>
      </c>
      <c r="K161" s="63"/>
      <c r="S161" s="63"/>
      <c r="AA161" s="63"/>
      <c r="AI161" s="77"/>
    </row>
    <row r="162">
      <c r="B162" s="60">
        <v>122.0</v>
      </c>
      <c r="C162" s="23" t="s">
        <v>311</v>
      </c>
      <c r="K162" s="63"/>
      <c r="S162" s="63"/>
      <c r="AA162" s="63"/>
      <c r="AI162" s="77"/>
    </row>
    <row r="163">
      <c r="B163" s="60">
        <v>123.0</v>
      </c>
      <c r="C163" s="23" t="s">
        <v>522</v>
      </c>
      <c r="K163" s="63"/>
      <c r="S163" s="63"/>
      <c r="AA163" s="63"/>
      <c r="AI163" s="77"/>
    </row>
    <row r="164">
      <c r="B164" s="60">
        <v>124.0</v>
      </c>
      <c r="C164" s="23" t="s">
        <v>621</v>
      </c>
      <c r="K164" s="63"/>
      <c r="S164" s="63"/>
      <c r="AA164" s="63"/>
      <c r="AI164" s="77"/>
    </row>
    <row r="165">
      <c r="B165" s="60">
        <v>125.0</v>
      </c>
      <c r="C165" s="23" t="s">
        <v>314</v>
      </c>
      <c r="K165" s="63"/>
      <c r="S165" s="63"/>
      <c r="AA165" s="63"/>
      <c r="AI165" s="77"/>
    </row>
    <row r="166">
      <c r="B166" s="60">
        <v>126.0</v>
      </c>
      <c r="C166" s="23" t="s">
        <v>158</v>
      </c>
      <c r="K166" s="63"/>
      <c r="S166" s="63"/>
      <c r="AA166" s="63"/>
      <c r="AI166" s="77"/>
    </row>
    <row r="167">
      <c r="B167" s="60">
        <v>127.0</v>
      </c>
      <c r="C167" s="23" t="s">
        <v>316</v>
      </c>
      <c r="K167" s="63"/>
      <c r="S167" s="63"/>
      <c r="AA167" s="63"/>
      <c r="AI167" s="77"/>
    </row>
    <row r="168">
      <c r="B168" s="60">
        <v>128.0</v>
      </c>
      <c r="C168" s="23" t="s">
        <v>622</v>
      </c>
      <c r="K168" s="63"/>
      <c r="S168" s="63"/>
      <c r="AA168" s="63"/>
      <c r="AI168" s="77"/>
    </row>
    <row r="169">
      <c r="B169" s="60">
        <v>129.0</v>
      </c>
      <c r="C169" s="23" t="s">
        <v>623</v>
      </c>
      <c r="K169" s="63"/>
      <c r="S169" s="63"/>
      <c r="AA169" s="63"/>
      <c r="AI169" s="77"/>
    </row>
    <row r="170">
      <c r="B170" s="60">
        <v>130.0</v>
      </c>
      <c r="C170" s="23" t="s">
        <v>319</v>
      </c>
      <c r="K170" s="63"/>
      <c r="S170" s="63"/>
      <c r="AA170" s="63"/>
      <c r="AI170" s="77"/>
    </row>
    <row r="171">
      <c r="B171" s="60">
        <v>131.0</v>
      </c>
      <c r="C171" s="23" t="s">
        <v>526</v>
      </c>
      <c r="K171" s="63"/>
      <c r="S171" s="63"/>
      <c r="AA171" s="63"/>
      <c r="AI171" s="77"/>
    </row>
    <row r="172">
      <c r="B172" s="60">
        <v>132.0</v>
      </c>
      <c r="C172" s="23" t="s">
        <v>624</v>
      </c>
      <c r="K172" s="63"/>
      <c r="S172" s="63"/>
      <c r="AA172" s="63"/>
      <c r="AI172" s="77"/>
    </row>
    <row r="173">
      <c r="B173" s="60">
        <v>133.0</v>
      </c>
      <c r="C173" s="23" t="s">
        <v>625</v>
      </c>
      <c r="K173" s="63"/>
      <c r="S173" s="63"/>
      <c r="AA173" s="63"/>
      <c r="AI173" s="77"/>
    </row>
    <row r="174">
      <c r="B174" s="60">
        <v>134.0</v>
      </c>
      <c r="C174" s="23" t="s">
        <v>626</v>
      </c>
      <c r="K174" s="63"/>
      <c r="S174" s="63"/>
      <c r="AA174" s="63"/>
      <c r="AI174" s="77"/>
    </row>
    <row r="175">
      <c r="B175" s="60">
        <v>135.0</v>
      </c>
      <c r="C175" s="23" t="s">
        <v>527</v>
      </c>
      <c r="K175" s="63"/>
      <c r="S175" s="63"/>
      <c r="AA175" s="63"/>
      <c r="AI175" s="77"/>
    </row>
    <row r="176">
      <c r="B176" s="60">
        <v>136.0</v>
      </c>
      <c r="C176" s="23" t="s">
        <v>528</v>
      </c>
      <c r="K176" s="63"/>
      <c r="S176" s="63"/>
      <c r="AA176" s="63"/>
      <c r="AI176" s="77"/>
    </row>
    <row r="177">
      <c r="B177" s="60">
        <v>137.0</v>
      </c>
      <c r="C177" s="23" t="s">
        <v>627</v>
      </c>
      <c r="K177" s="63"/>
      <c r="S177" s="63"/>
      <c r="AA177" s="63"/>
      <c r="AI177" s="77"/>
    </row>
    <row r="178">
      <c r="B178" s="60">
        <v>138.0</v>
      </c>
      <c r="C178" s="23" t="s">
        <v>628</v>
      </c>
      <c r="K178" s="63"/>
      <c r="S178" s="63"/>
      <c r="AA178" s="63"/>
      <c r="AI178" s="77"/>
    </row>
    <row r="179">
      <c r="B179" s="60">
        <v>139.0</v>
      </c>
      <c r="C179" s="23" t="s">
        <v>629</v>
      </c>
      <c r="K179" s="63"/>
      <c r="S179" s="63"/>
      <c r="AA179" s="63"/>
      <c r="AI179" s="77"/>
    </row>
    <row r="180">
      <c r="B180" s="60">
        <v>140.0</v>
      </c>
      <c r="C180" s="23" t="s">
        <v>329</v>
      </c>
      <c r="K180" s="63"/>
      <c r="S180" s="63"/>
      <c r="AA180" s="63"/>
      <c r="AI180" s="77"/>
    </row>
    <row r="181">
      <c r="B181" s="60">
        <v>141.0</v>
      </c>
      <c r="C181" s="23" t="s">
        <v>630</v>
      </c>
      <c r="K181" s="63"/>
      <c r="S181" s="63"/>
      <c r="AA181" s="63"/>
      <c r="AI181" s="77"/>
    </row>
    <row r="182">
      <c r="B182" s="60">
        <v>142.0</v>
      </c>
      <c r="C182" s="23" t="s">
        <v>631</v>
      </c>
      <c r="K182" s="63"/>
      <c r="S182" s="63"/>
      <c r="AA182" s="63"/>
      <c r="AI182" s="77"/>
    </row>
    <row r="183">
      <c r="B183" s="60">
        <v>143.0</v>
      </c>
      <c r="C183" s="23" t="s">
        <v>332</v>
      </c>
      <c r="K183" s="63"/>
      <c r="S183" s="63"/>
      <c r="AA183" s="63"/>
      <c r="AI183" s="77"/>
    </row>
    <row r="184">
      <c r="B184" s="60">
        <v>144.0</v>
      </c>
      <c r="C184" s="23" t="s">
        <v>333</v>
      </c>
      <c r="K184" s="63"/>
      <c r="S184" s="63"/>
      <c r="AA184" s="63"/>
      <c r="AI184" s="77"/>
    </row>
    <row r="185">
      <c r="B185" s="60">
        <v>145.0</v>
      </c>
      <c r="C185" s="23" t="s">
        <v>632</v>
      </c>
      <c r="K185" s="63"/>
      <c r="S185" s="63"/>
      <c r="AA185" s="63"/>
      <c r="AI185" s="77"/>
    </row>
    <row r="186">
      <c r="B186" s="60">
        <v>146.0</v>
      </c>
      <c r="C186" s="23" t="s">
        <v>633</v>
      </c>
      <c r="K186" s="63"/>
      <c r="S186" s="63"/>
      <c r="AA186" s="63"/>
      <c r="AI186" s="77"/>
    </row>
    <row r="187">
      <c r="B187" s="60">
        <v>147.0</v>
      </c>
      <c r="C187" s="23" t="s">
        <v>336</v>
      </c>
      <c r="K187" s="63"/>
      <c r="S187" s="63"/>
      <c r="AA187" s="63"/>
      <c r="AI187" s="77"/>
    </row>
    <row r="188">
      <c r="B188" s="60">
        <v>148.0</v>
      </c>
      <c r="C188" s="23" t="s">
        <v>535</v>
      </c>
      <c r="K188" s="63"/>
      <c r="S188" s="63"/>
      <c r="AA188" s="63"/>
      <c r="AI188" s="77"/>
    </row>
    <row r="189">
      <c r="B189" s="60">
        <v>149.0</v>
      </c>
      <c r="C189" s="23" t="s">
        <v>536</v>
      </c>
      <c r="K189" s="63"/>
      <c r="S189" s="63"/>
      <c r="AA189" s="63"/>
      <c r="AI189" s="77"/>
    </row>
    <row r="190">
      <c r="B190" s="60">
        <v>150.0</v>
      </c>
      <c r="C190" s="23" t="s">
        <v>339</v>
      </c>
      <c r="K190" s="63"/>
      <c r="S190" s="63"/>
      <c r="AA190" s="63"/>
      <c r="AI190" s="77"/>
    </row>
    <row r="191">
      <c r="B191" s="60">
        <v>151.0</v>
      </c>
      <c r="C191" s="23" t="s">
        <v>340</v>
      </c>
      <c r="K191" s="63"/>
      <c r="S191" s="63"/>
      <c r="AA191" s="63"/>
      <c r="AI191" s="77"/>
    </row>
    <row r="192">
      <c r="B192" s="60">
        <v>152.0</v>
      </c>
      <c r="C192" s="23" t="s">
        <v>634</v>
      </c>
      <c r="K192" s="63"/>
      <c r="S192" s="63"/>
      <c r="AA192" s="63"/>
      <c r="AI192" s="77"/>
    </row>
    <row r="193">
      <c r="B193" s="60">
        <v>153.0</v>
      </c>
      <c r="C193" s="23" t="s">
        <v>538</v>
      </c>
      <c r="K193" s="63"/>
      <c r="S193" s="63"/>
      <c r="AA193" s="63"/>
      <c r="AI193" s="77"/>
    </row>
    <row r="194">
      <c r="B194" s="60">
        <v>154.0</v>
      </c>
      <c r="C194" s="23" t="s">
        <v>344</v>
      </c>
      <c r="K194" s="63"/>
      <c r="S194" s="63"/>
      <c r="AA194" s="63"/>
      <c r="AI194" s="77"/>
    </row>
    <row r="195">
      <c r="B195" s="60">
        <v>155.0</v>
      </c>
      <c r="C195" s="23" t="s">
        <v>635</v>
      </c>
      <c r="K195" s="63"/>
      <c r="S195" s="63"/>
      <c r="AA195" s="63"/>
      <c r="AI195" s="77"/>
    </row>
    <row r="196">
      <c r="B196" s="60">
        <v>156.0</v>
      </c>
      <c r="C196" s="23" t="s">
        <v>346</v>
      </c>
      <c r="K196" s="63"/>
      <c r="S196" s="63"/>
      <c r="AA196" s="63"/>
      <c r="AI196" s="77"/>
    </row>
    <row r="197">
      <c r="B197" s="60">
        <v>157.0</v>
      </c>
      <c r="C197" s="23" t="s">
        <v>348</v>
      </c>
      <c r="K197" s="63"/>
      <c r="S197" s="63"/>
      <c r="AA197" s="63"/>
      <c r="AI197" s="77"/>
    </row>
    <row r="198">
      <c r="B198" s="60">
        <v>158.0</v>
      </c>
      <c r="C198" s="23" t="s">
        <v>244</v>
      </c>
      <c r="K198" s="63"/>
      <c r="S198" s="63"/>
      <c r="AA198" s="63"/>
      <c r="AI198" s="77"/>
    </row>
    <row r="199">
      <c r="B199" s="60">
        <v>159.0</v>
      </c>
      <c r="C199" s="23" t="s">
        <v>543</v>
      </c>
      <c r="K199" s="63"/>
      <c r="S199" s="63"/>
      <c r="AA199" s="63"/>
      <c r="AI199" s="77"/>
    </row>
    <row r="200">
      <c r="B200" s="60">
        <v>160.0</v>
      </c>
      <c r="C200" s="23" t="s">
        <v>636</v>
      </c>
      <c r="K200" s="63"/>
      <c r="S200" s="63"/>
      <c r="AA200" s="63"/>
      <c r="AI200" s="77"/>
    </row>
    <row r="201">
      <c r="B201" s="60">
        <v>161.0</v>
      </c>
      <c r="C201" s="23" t="s">
        <v>637</v>
      </c>
      <c r="K201" s="63"/>
      <c r="S201" s="63"/>
      <c r="AA201" s="63"/>
      <c r="AI201" s="77"/>
    </row>
    <row r="202">
      <c r="B202" s="60">
        <v>162.0</v>
      </c>
      <c r="C202" s="23" t="s">
        <v>352</v>
      </c>
      <c r="K202" s="63"/>
      <c r="S202" s="63"/>
      <c r="AA202" s="63"/>
      <c r="AI202" s="77"/>
    </row>
    <row r="203">
      <c r="B203" s="60">
        <v>163.0</v>
      </c>
      <c r="C203" s="23" t="s">
        <v>544</v>
      </c>
      <c r="K203" s="63"/>
      <c r="S203" s="63"/>
      <c r="AA203" s="63"/>
      <c r="AI203" s="77"/>
    </row>
    <row r="204">
      <c r="B204" s="60">
        <v>164.0</v>
      </c>
      <c r="C204" s="23" t="s">
        <v>638</v>
      </c>
      <c r="K204" s="63"/>
      <c r="S204" s="63"/>
      <c r="AA204" s="63"/>
      <c r="AI204" s="77"/>
    </row>
    <row r="205">
      <c r="B205" s="60">
        <v>165.0</v>
      </c>
      <c r="C205" s="23" t="s">
        <v>354</v>
      </c>
      <c r="K205" s="63"/>
      <c r="S205" s="63"/>
      <c r="AA205" s="63"/>
      <c r="AI205" s="77"/>
    </row>
    <row r="206">
      <c r="B206" s="60">
        <v>166.0</v>
      </c>
      <c r="C206" s="23" t="s">
        <v>355</v>
      </c>
      <c r="K206" s="63"/>
      <c r="S206" s="63"/>
      <c r="AA206" s="63"/>
      <c r="AI206" s="77"/>
    </row>
    <row r="207">
      <c r="B207" s="60">
        <v>167.0</v>
      </c>
      <c r="C207" s="23" t="s">
        <v>357</v>
      </c>
      <c r="K207" s="63"/>
      <c r="S207" s="63"/>
      <c r="AA207" s="63"/>
      <c r="AI207" s="77"/>
    </row>
    <row r="208">
      <c r="B208" s="60">
        <v>168.0</v>
      </c>
      <c r="C208" s="23" t="s">
        <v>639</v>
      </c>
      <c r="K208" s="63"/>
      <c r="S208" s="63"/>
      <c r="AA208" s="63"/>
      <c r="AI208" s="77"/>
    </row>
    <row r="209">
      <c r="B209" s="60">
        <v>169.0</v>
      </c>
      <c r="C209" s="23" t="s">
        <v>358</v>
      </c>
      <c r="K209" s="63"/>
      <c r="S209" s="63"/>
      <c r="AA209" s="63"/>
      <c r="AI209" s="77"/>
    </row>
    <row r="210">
      <c r="B210" s="60">
        <v>170.0</v>
      </c>
      <c r="C210" s="23" t="s">
        <v>359</v>
      </c>
      <c r="K210" s="63"/>
      <c r="S210" s="63"/>
      <c r="AA210" s="63"/>
      <c r="AI210" s="77"/>
    </row>
    <row r="211">
      <c r="B211" s="60">
        <v>171.0</v>
      </c>
      <c r="C211" s="23" t="s">
        <v>436</v>
      </c>
      <c r="K211" s="63"/>
      <c r="S211" s="63"/>
      <c r="AA211" s="63"/>
      <c r="AI211" s="77"/>
    </row>
    <row r="212">
      <c r="B212" s="60">
        <v>172.0</v>
      </c>
      <c r="C212" s="23" t="s">
        <v>546</v>
      </c>
      <c r="K212" s="63"/>
      <c r="S212" s="63"/>
      <c r="AA212" s="63"/>
      <c r="AI212" s="77"/>
    </row>
    <row r="213">
      <c r="B213" s="60">
        <v>173.0</v>
      </c>
      <c r="C213" s="23" t="s">
        <v>547</v>
      </c>
      <c r="K213" s="63"/>
      <c r="S213" s="63"/>
      <c r="AA213" s="63"/>
      <c r="AI213" s="77"/>
    </row>
    <row r="214">
      <c r="B214" s="60">
        <v>174.0</v>
      </c>
      <c r="C214" s="23" t="s">
        <v>548</v>
      </c>
      <c r="K214" s="63"/>
      <c r="S214" s="63"/>
      <c r="AA214" s="63"/>
      <c r="AI214" s="77"/>
    </row>
    <row r="215">
      <c r="B215" s="60">
        <v>175.0</v>
      </c>
      <c r="C215" s="23" t="s">
        <v>549</v>
      </c>
      <c r="K215" s="63"/>
      <c r="S215" s="63"/>
      <c r="AA215" s="63"/>
      <c r="AI215" s="77"/>
    </row>
    <row r="216">
      <c r="B216" s="60">
        <v>176.0</v>
      </c>
      <c r="C216" s="23" t="s">
        <v>550</v>
      </c>
      <c r="K216" s="63"/>
      <c r="S216" s="63"/>
      <c r="AA216" s="63"/>
      <c r="AI216" s="77"/>
    </row>
    <row r="217">
      <c r="B217" s="60">
        <v>177.0</v>
      </c>
      <c r="C217" s="23" t="s">
        <v>640</v>
      </c>
      <c r="K217" s="63"/>
      <c r="S217" s="63"/>
      <c r="AA217" s="63"/>
      <c r="AI217" s="77"/>
    </row>
    <row r="218">
      <c r="B218" s="60">
        <v>178.0</v>
      </c>
      <c r="C218" s="23" t="s">
        <v>364</v>
      </c>
      <c r="K218" s="63"/>
      <c r="S218" s="63"/>
      <c r="AA218" s="63"/>
      <c r="AI218" s="77"/>
    </row>
    <row r="219">
      <c r="B219" s="60">
        <v>179.0</v>
      </c>
      <c r="C219" s="23" t="s">
        <v>365</v>
      </c>
      <c r="K219" s="63"/>
      <c r="S219" s="63"/>
      <c r="AA219" s="63"/>
      <c r="AI219" s="77"/>
    </row>
    <row r="220">
      <c r="B220" s="60">
        <v>180.0</v>
      </c>
      <c r="C220" s="23" t="s">
        <v>552</v>
      </c>
      <c r="K220" s="63"/>
      <c r="S220" s="63"/>
      <c r="AA220" s="63"/>
      <c r="AI220" s="77"/>
    </row>
    <row r="221">
      <c r="B221" s="60">
        <v>181.0</v>
      </c>
      <c r="C221" s="23" t="s">
        <v>641</v>
      </c>
      <c r="K221" s="63"/>
      <c r="S221" s="63"/>
      <c r="AA221" s="63"/>
      <c r="AI221" s="77"/>
    </row>
    <row r="222">
      <c r="B222" s="60">
        <v>182.0</v>
      </c>
      <c r="C222" s="23" t="s">
        <v>642</v>
      </c>
      <c r="K222" s="63"/>
      <c r="S222" s="63"/>
      <c r="AA222" s="63"/>
      <c r="AI222" s="77"/>
    </row>
    <row r="223">
      <c r="B223" s="60">
        <v>183.0</v>
      </c>
      <c r="C223" s="23" t="s">
        <v>554</v>
      </c>
      <c r="K223" s="63"/>
      <c r="S223" s="63"/>
      <c r="AA223" s="63"/>
      <c r="AI223" s="77"/>
    </row>
    <row r="224">
      <c r="B224" s="60">
        <v>184.0</v>
      </c>
      <c r="C224" s="23" t="s">
        <v>555</v>
      </c>
      <c r="K224" s="63"/>
      <c r="S224" s="63"/>
      <c r="AA224" s="63"/>
      <c r="AI224" s="77"/>
    </row>
    <row r="225">
      <c r="B225" s="60">
        <v>185.0</v>
      </c>
      <c r="C225" s="23" t="s">
        <v>371</v>
      </c>
      <c r="K225" s="63"/>
      <c r="S225" s="63"/>
      <c r="AA225" s="63"/>
      <c r="AI225" s="77"/>
    </row>
    <row r="226">
      <c r="B226" s="60">
        <v>186.0</v>
      </c>
      <c r="C226" s="23" t="s">
        <v>372</v>
      </c>
      <c r="K226" s="63"/>
      <c r="S226" s="63"/>
      <c r="AA226" s="63"/>
      <c r="AI226" s="77"/>
    </row>
    <row r="227">
      <c r="B227" s="60">
        <v>187.0</v>
      </c>
      <c r="C227" s="23" t="s">
        <v>556</v>
      </c>
      <c r="K227" s="63"/>
      <c r="S227" s="63"/>
      <c r="AA227" s="63"/>
      <c r="AI227" s="77"/>
    </row>
    <row r="228">
      <c r="B228" s="60">
        <v>188.0</v>
      </c>
      <c r="C228" s="23" t="s">
        <v>557</v>
      </c>
      <c r="K228" s="63"/>
      <c r="S228" s="63"/>
      <c r="AA228" s="63"/>
      <c r="AI228" s="77"/>
    </row>
    <row r="229">
      <c r="B229" s="60">
        <v>189.0</v>
      </c>
      <c r="C229" s="23" t="s">
        <v>374</v>
      </c>
      <c r="K229" s="63"/>
      <c r="S229" s="63"/>
      <c r="AA229" s="63"/>
      <c r="AI229" s="77"/>
    </row>
    <row r="230">
      <c r="B230" s="60">
        <v>190.0</v>
      </c>
      <c r="C230" s="23" t="s">
        <v>558</v>
      </c>
      <c r="K230" s="63"/>
      <c r="S230" s="63"/>
      <c r="AA230" s="63"/>
      <c r="AI230" s="77"/>
    </row>
    <row r="231">
      <c r="B231" s="60">
        <v>191.0</v>
      </c>
      <c r="C231" s="23" t="s">
        <v>377</v>
      </c>
      <c r="K231" s="63"/>
      <c r="S231" s="63"/>
      <c r="AA231" s="63"/>
      <c r="AI231" s="77"/>
    </row>
    <row r="232">
      <c r="B232" s="60">
        <v>192.0</v>
      </c>
      <c r="C232" s="23" t="s">
        <v>559</v>
      </c>
      <c r="K232" s="63"/>
      <c r="S232" s="63"/>
      <c r="AA232" s="63"/>
      <c r="AI232" s="77"/>
    </row>
    <row r="233">
      <c r="B233" s="60">
        <v>193.0</v>
      </c>
      <c r="C233" s="23" t="s">
        <v>643</v>
      </c>
      <c r="K233" s="63"/>
      <c r="S233" s="63"/>
      <c r="AA233" s="63"/>
      <c r="AI233" s="77"/>
    </row>
    <row r="234">
      <c r="B234" s="60">
        <v>194.0</v>
      </c>
      <c r="C234" s="23" t="s">
        <v>560</v>
      </c>
      <c r="K234" s="63"/>
      <c r="S234" s="63"/>
      <c r="AA234" s="63"/>
      <c r="AI234" s="77"/>
    </row>
    <row r="235">
      <c r="B235" s="60">
        <v>195.0</v>
      </c>
      <c r="C235" s="23" t="s">
        <v>561</v>
      </c>
      <c r="K235" s="63"/>
      <c r="S235" s="63"/>
      <c r="AA235" s="63"/>
      <c r="AI235" s="77"/>
    </row>
    <row r="236">
      <c r="B236" s="60">
        <v>196.0</v>
      </c>
      <c r="C236" s="23" t="s">
        <v>382</v>
      </c>
      <c r="K236" s="63"/>
      <c r="S236" s="63"/>
      <c r="AA236" s="63"/>
      <c r="AI236" s="77"/>
    </row>
    <row r="237">
      <c r="B237" s="60">
        <v>197.0</v>
      </c>
      <c r="C237" s="23" t="s">
        <v>644</v>
      </c>
      <c r="K237" s="63"/>
      <c r="S237" s="63"/>
      <c r="AA237" s="63"/>
      <c r="AI237" s="77"/>
    </row>
    <row r="238">
      <c r="B238" s="60">
        <v>198.0</v>
      </c>
      <c r="C238" s="23" t="s">
        <v>563</v>
      </c>
      <c r="K238" s="63"/>
      <c r="S238" s="63"/>
      <c r="AA238" s="63"/>
      <c r="AI238" s="77"/>
    </row>
    <row r="239">
      <c r="B239" s="60">
        <v>199.0</v>
      </c>
      <c r="C239" s="23" t="s">
        <v>564</v>
      </c>
      <c r="K239" s="63"/>
      <c r="S239" s="63"/>
      <c r="AA239" s="63"/>
      <c r="AI239" s="77"/>
    </row>
    <row r="240">
      <c r="B240" s="60">
        <v>200.0</v>
      </c>
      <c r="C240" s="23" t="s">
        <v>645</v>
      </c>
      <c r="K240" s="63"/>
      <c r="S240" s="63"/>
      <c r="AA240" s="63"/>
      <c r="AI240" s="77"/>
    </row>
    <row r="241">
      <c r="B241" s="60">
        <v>201.0</v>
      </c>
      <c r="C241" s="23" t="s">
        <v>387</v>
      </c>
      <c r="K241" s="63"/>
      <c r="S241" s="63"/>
      <c r="AA241" s="63"/>
      <c r="AI241" s="77"/>
    </row>
    <row r="242">
      <c r="B242" s="60">
        <v>202.0</v>
      </c>
      <c r="C242" s="23" t="s">
        <v>646</v>
      </c>
      <c r="K242" s="63"/>
      <c r="S242" s="63"/>
      <c r="AA242" s="63"/>
      <c r="AI242" s="77"/>
    </row>
    <row r="243">
      <c r="B243" s="60">
        <v>203.0</v>
      </c>
      <c r="C243" s="23" t="s">
        <v>567</v>
      </c>
      <c r="K243" s="63"/>
      <c r="S243" s="63"/>
      <c r="AA243" s="63"/>
      <c r="AI243" s="77"/>
    </row>
    <row r="244">
      <c r="B244" s="60">
        <v>204.0</v>
      </c>
      <c r="C244" s="23" t="s">
        <v>391</v>
      </c>
      <c r="K244" s="63"/>
      <c r="S244" s="63"/>
      <c r="AA244" s="63"/>
      <c r="AI244" s="77"/>
    </row>
    <row r="245">
      <c r="B245" s="60">
        <v>205.0</v>
      </c>
      <c r="C245" s="23" t="s">
        <v>392</v>
      </c>
      <c r="K245" s="63"/>
      <c r="S245" s="63"/>
      <c r="AA245" s="63"/>
      <c r="AI245" s="77"/>
    </row>
    <row r="246">
      <c r="B246" s="60">
        <v>206.0</v>
      </c>
      <c r="C246" s="23" t="s">
        <v>393</v>
      </c>
      <c r="K246" s="63"/>
      <c r="S246" s="63"/>
      <c r="AA246" s="63"/>
      <c r="AI246" s="77"/>
    </row>
    <row r="247">
      <c r="B247" s="60">
        <v>207.0</v>
      </c>
      <c r="C247" s="23" t="s">
        <v>568</v>
      </c>
      <c r="K247" s="63"/>
      <c r="S247" s="63"/>
      <c r="AA247" s="63"/>
      <c r="AI247" s="77"/>
    </row>
    <row r="248">
      <c r="B248" s="60">
        <v>208.0</v>
      </c>
      <c r="C248" s="23" t="s">
        <v>395</v>
      </c>
      <c r="K248" s="63"/>
      <c r="S248" s="63"/>
      <c r="AA248" s="63"/>
      <c r="AI248" s="77"/>
    </row>
    <row r="249">
      <c r="B249" s="60">
        <v>209.0</v>
      </c>
      <c r="C249" s="23" t="s">
        <v>396</v>
      </c>
      <c r="K249" s="63"/>
      <c r="S249" s="63"/>
      <c r="AA249" s="63"/>
      <c r="AI249" s="77"/>
    </row>
    <row r="250">
      <c r="B250" s="60">
        <v>210.0</v>
      </c>
      <c r="C250" s="23" t="s">
        <v>397</v>
      </c>
      <c r="K250" s="63"/>
      <c r="S250" s="63"/>
      <c r="AA250" s="63"/>
      <c r="AI250" s="77"/>
    </row>
    <row r="251">
      <c r="B251" s="60">
        <v>211.0</v>
      </c>
      <c r="C251" s="23" t="s">
        <v>398</v>
      </c>
      <c r="K251" s="63"/>
      <c r="S251" s="63"/>
      <c r="AA251" s="63"/>
      <c r="AI251" s="77"/>
    </row>
    <row r="252">
      <c r="B252" s="60">
        <v>212.0</v>
      </c>
      <c r="C252" s="23" t="s">
        <v>647</v>
      </c>
      <c r="K252" s="63"/>
      <c r="S252" s="63"/>
      <c r="AA252" s="63"/>
      <c r="AI252" s="77"/>
    </row>
    <row r="253">
      <c r="B253" s="60">
        <v>213.0</v>
      </c>
      <c r="C253" s="23" t="s">
        <v>400</v>
      </c>
      <c r="K253" s="63"/>
      <c r="S253" s="63"/>
      <c r="AA253" s="63"/>
      <c r="AI253" s="77"/>
    </row>
    <row r="254">
      <c r="B254" s="60">
        <v>214.0</v>
      </c>
      <c r="C254" s="23" t="s">
        <v>401</v>
      </c>
      <c r="K254" s="63"/>
      <c r="S254" s="63"/>
      <c r="AA254" s="63"/>
      <c r="AI254" s="77"/>
    </row>
    <row r="255">
      <c r="B255" s="60">
        <v>215.0</v>
      </c>
      <c r="C255" s="23" t="s">
        <v>648</v>
      </c>
      <c r="K255" s="63"/>
      <c r="S255" s="63"/>
      <c r="AA255" s="63"/>
      <c r="AI255" s="77"/>
    </row>
    <row r="256">
      <c r="B256" s="60">
        <v>216.0</v>
      </c>
      <c r="C256" s="23" t="s">
        <v>649</v>
      </c>
      <c r="K256" s="63"/>
      <c r="S256" s="63"/>
      <c r="AA256" s="63"/>
      <c r="AI256" s="77"/>
    </row>
    <row r="257">
      <c r="B257" s="60">
        <v>217.0</v>
      </c>
      <c r="C257" s="23" t="s">
        <v>403</v>
      </c>
      <c r="K257" s="63"/>
      <c r="S257" s="63"/>
      <c r="AA257" s="63"/>
      <c r="AI257" s="77"/>
    </row>
    <row r="258">
      <c r="B258" s="60">
        <v>218.0</v>
      </c>
      <c r="C258" s="23" t="s">
        <v>405</v>
      </c>
      <c r="K258" s="63"/>
      <c r="S258" s="63"/>
      <c r="AA258" s="63"/>
      <c r="AI258" s="77"/>
    </row>
    <row r="259">
      <c r="B259" s="60">
        <v>219.0</v>
      </c>
      <c r="C259" s="23" t="s">
        <v>404</v>
      </c>
      <c r="K259" s="63"/>
      <c r="S259" s="63"/>
      <c r="AA259" s="63"/>
      <c r="AI259" s="77"/>
    </row>
    <row r="260">
      <c r="B260" s="60">
        <v>220.0</v>
      </c>
      <c r="C260" s="23" t="s">
        <v>406</v>
      </c>
      <c r="K260" s="63"/>
      <c r="S260" s="63"/>
      <c r="AA260" s="63"/>
      <c r="AI260" s="77"/>
    </row>
    <row r="261">
      <c r="B261" s="60">
        <v>221.0</v>
      </c>
      <c r="C261" s="23" t="s">
        <v>435</v>
      </c>
      <c r="K261" s="63"/>
      <c r="S261" s="63"/>
      <c r="AA261" s="63"/>
      <c r="AI261" s="77"/>
    </row>
    <row r="262">
      <c r="B262" s="60">
        <v>222.0</v>
      </c>
      <c r="C262" s="23" t="s">
        <v>433</v>
      </c>
      <c r="K262" s="63"/>
      <c r="S262" s="63"/>
      <c r="AA262" s="63"/>
      <c r="AI262" s="77"/>
    </row>
    <row r="263">
      <c r="B263" s="60">
        <v>223.0</v>
      </c>
      <c r="C263" s="23" t="s">
        <v>569</v>
      </c>
      <c r="K263" s="63"/>
      <c r="S263" s="63"/>
      <c r="AA263" s="63"/>
      <c r="AI263" s="77"/>
    </row>
    <row r="264">
      <c r="B264" s="60">
        <v>224.0</v>
      </c>
      <c r="C264" s="23" t="s">
        <v>650</v>
      </c>
      <c r="K264" s="63"/>
      <c r="S264" s="63"/>
      <c r="AA264" s="63"/>
      <c r="AI264" s="77"/>
    </row>
    <row r="265">
      <c r="B265" s="60">
        <v>225.0</v>
      </c>
      <c r="C265" s="23" t="s">
        <v>571</v>
      </c>
      <c r="K265" s="63"/>
      <c r="S265" s="63"/>
      <c r="AA265" s="63"/>
      <c r="AI265" s="77"/>
    </row>
    <row r="266">
      <c r="B266" s="60">
        <v>226.0</v>
      </c>
      <c r="C266" s="23" t="s">
        <v>572</v>
      </c>
      <c r="K266" s="63"/>
      <c r="S266" s="63"/>
      <c r="AA266" s="63"/>
      <c r="AI266" s="77"/>
    </row>
    <row r="267">
      <c r="B267" s="60">
        <v>227.0</v>
      </c>
      <c r="C267" s="23" t="s">
        <v>573</v>
      </c>
      <c r="K267" s="63"/>
      <c r="S267" s="63"/>
      <c r="AA267" s="63"/>
      <c r="AI267" s="77"/>
    </row>
    <row r="268">
      <c r="B268" s="60">
        <v>228.0</v>
      </c>
      <c r="C268" s="23" t="s">
        <v>574</v>
      </c>
      <c r="K268" s="63"/>
      <c r="S268" s="63"/>
      <c r="AA268" s="63"/>
      <c r="AI268" s="77"/>
    </row>
    <row r="269">
      <c r="B269" s="60">
        <v>229.0</v>
      </c>
      <c r="C269" s="23" t="s">
        <v>651</v>
      </c>
      <c r="K269" s="63"/>
      <c r="S269" s="63"/>
      <c r="AA269" s="63"/>
      <c r="AI269" s="77"/>
    </row>
    <row r="270">
      <c r="B270" s="60">
        <v>230.0</v>
      </c>
      <c r="C270" s="23" t="s">
        <v>420</v>
      </c>
      <c r="K270" s="63"/>
      <c r="S270" s="63"/>
      <c r="AA270" s="63"/>
      <c r="AI270" s="77"/>
    </row>
    <row r="271">
      <c r="B271" s="60">
        <v>231.0</v>
      </c>
      <c r="C271" s="23" t="s">
        <v>418</v>
      </c>
      <c r="K271" s="63"/>
      <c r="S271" s="63"/>
      <c r="AA271" s="63"/>
      <c r="AI271" s="77"/>
    </row>
    <row r="272">
      <c r="B272" s="60">
        <v>232.0</v>
      </c>
      <c r="C272" s="23" t="s">
        <v>419</v>
      </c>
      <c r="K272" s="63"/>
      <c r="S272" s="63"/>
      <c r="AA272" s="63"/>
      <c r="AI272" s="77"/>
    </row>
    <row r="273">
      <c r="B273" s="60">
        <v>233.0</v>
      </c>
      <c r="C273" s="23" t="s">
        <v>417</v>
      </c>
      <c r="K273" s="63"/>
      <c r="S273" s="63"/>
      <c r="AA273" s="63"/>
      <c r="AI273" s="77"/>
    </row>
    <row r="274">
      <c r="B274" s="60">
        <v>234.0</v>
      </c>
      <c r="C274" s="23" t="s">
        <v>416</v>
      </c>
      <c r="K274" s="63"/>
      <c r="S274" s="63"/>
      <c r="AA274" s="63"/>
      <c r="AI274" s="77"/>
    </row>
    <row r="275">
      <c r="B275" s="60">
        <v>235.0</v>
      </c>
      <c r="C275" s="23" t="s">
        <v>415</v>
      </c>
      <c r="K275" s="63"/>
      <c r="S275" s="63"/>
      <c r="AA275" s="63"/>
      <c r="AI275" s="77"/>
    </row>
    <row r="276">
      <c r="B276" s="60">
        <v>236.0</v>
      </c>
      <c r="C276" s="23" t="s">
        <v>407</v>
      </c>
      <c r="K276" s="63"/>
      <c r="S276" s="63"/>
      <c r="AA276" s="63"/>
      <c r="AI276" s="77"/>
    </row>
    <row r="277">
      <c r="B277" s="60">
        <v>237.0</v>
      </c>
      <c r="C277" s="23" t="s">
        <v>652</v>
      </c>
      <c r="K277" s="63"/>
      <c r="S277" s="63"/>
      <c r="AA277" s="63"/>
      <c r="AI277" s="77"/>
    </row>
    <row r="278">
      <c r="B278" s="60">
        <v>238.0</v>
      </c>
      <c r="C278" s="23" t="s">
        <v>653</v>
      </c>
      <c r="K278" s="63"/>
      <c r="S278" s="63"/>
      <c r="AA278" s="63"/>
      <c r="AI278" s="77"/>
    </row>
    <row r="279">
      <c r="B279" s="60">
        <v>239.0</v>
      </c>
      <c r="C279" s="23" t="s">
        <v>654</v>
      </c>
      <c r="K279" s="63"/>
      <c r="S279" s="63"/>
      <c r="AA279" s="63"/>
      <c r="AI279" s="77"/>
    </row>
    <row r="280">
      <c r="B280" s="60">
        <v>240.0</v>
      </c>
      <c r="C280" s="23" t="s">
        <v>412</v>
      </c>
      <c r="K280" s="63"/>
      <c r="S280" s="63"/>
      <c r="AA280" s="63"/>
      <c r="AI280" s="77"/>
    </row>
    <row r="281">
      <c r="B281" s="60">
        <v>241.0</v>
      </c>
      <c r="C281" s="23" t="s">
        <v>413</v>
      </c>
      <c r="K281" s="63"/>
      <c r="S281" s="63"/>
      <c r="AA281" s="63"/>
      <c r="AI281" s="77"/>
    </row>
    <row r="282">
      <c r="B282" s="60">
        <v>242.0</v>
      </c>
      <c r="C282" s="23" t="s">
        <v>414</v>
      </c>
      <c r="K282" s="63"/>
      <c r="S282" s="63"/>
      <c r="AA282" s="63"/>
      <c r="AI282" s="77"/>
    </row>
    <row r="283">
      <c r="B283" s="60">
        <v>243.0</v>
      </c>
      <c r="C283" s="23" t="s">
        <v>445</v>
      </c>
      <c r="K283" s="63"/>
      <c r="S283" s="63"/>
      <c r="AA283" s="63"/>
      <c r="AI283" s="77"/>
    </row>
    <row r="284">
      <c r="B284" s="60">
        <v>244.0</v>
      </c>
      <c r="C284" s="23" t="s">
        <v>580</v>
      </c>
      <c r="K284" s="63"/>
      <c r="S284" s="63"/>
      <c r="AA284" s="63"/>
      <c r="AI284" s="77"/>
    </row>
    <row r="285">
      <c r="B285" s="60">
        <v>245.0</v>
      </c>
      <c r="C285" s="23" t="s">
        <v>444</v>
      </c>
      <c r="K285" s="63"/>
      <c r="S285" s="63"/>
      <c r="AA285" s="63"/>
      <c r="AI285" s="77"/>
    </row>
    <row r="286">
      <c r="B286" s="60">
        <v>246.0</v>
      </c>
      <c r="C286" s="23" t="s">
        <v>443</v>
      </c>
      <c r="K286" s="63"/>
      <c r="S286" s="63"/>
      <c r="AA286" s="63"/>
      <c r="AI286" s="77"/>
    </row>
    <row r="287">
      <c r="B287" s="60">
        <v>247.0</v>
      </c>
      <c r="C287" s="23" t="s">
        <v>442</v>
      </c>
      <c r="K287" s="63"/>
      <c r="S287" s="63"/>
      <c r="AA287" s="63"/>
      <c r="AI287" s="77"/>
    </row>
    <row r="288">
      <c r="B288" s="60">
        <v>248.0</v>
      </c>
      <c r="C288" s="23" t="s">
        <v>440</v>
      </c>
      <c r="K288" s="63"/>
      <c r="S288" s="63"/>
      <c r="AA288" s="63"/>
      <c r="AI288" s="77"/>
    </row>
    <row r="289">
      <c r="B289" s="60">
        <v>249.0</v>
      </c>
      <c r="C289" s="23" t="s">
        <v>581</v>
      </c>
      <c r="K289" s="63"/>
      <c r="S289" s="63"/>
      <c r="AA289" s="63"/>
      <c r="AI289" s="77"/>
    </row>
    <row r="290">
      <c r="B290" s="60">
        <v>250.0</v>
      </c>
      <c r="C290" s="23" t="s">
        <v>581</v>
      </c>
      <c r="K290" s="63"/>
      <c r="S290" s="63"/>
      <c r="AA290" s="63"/>
      <c r="AI290" s="77"/>
    </row>
    <row r="291">
      <c r="B291" s="60">
        <v>251.0</v>
      </c>
      <c r="C291" s="23" t="s">
        <v>581</v>
      </c>
      <c r="K291" s="63"/>
      <c r="S291" s="63"/>
      <c r="AA291" s="63"/>
      <c r="AI291" s="77"/>
    </row>
    <row r="292">
      <c r="B292" s="60">
        <v>252.0</v>
      </c>
      <c r="C292" s="23" t="s">
        <v>581</v>
      </c>
      <c r="K292" s="63"/>
      <c r="S292" s="63"/>
      <c r="AA292" s="63"/>
      <c r="AI292" s="77"/>
    </row>
    <row r="293">
      <c r="B293" s="60">
        <v>253.0</v>
      </c>
      <c r="C293" s="23" t="s">
        <v>581</v>
      </c>
      <c r="K293" s="63"/>
      <c r="S293" s="63"/>
      <c r="AA293" s="63"/>
      <c r="AI293" s="77"/>
    </row>
    <row r="294">
      <c r="B294" s="78">
        <v>254.0</v>
      </c>
      <c r="C294" s="71" t="s">
        <v>581</v>
      </c>
      <c r="D294" s="72"/>
      <c r="E294" s="72"/>
      <c r="F294" s="79"/>
      <c r="G294" s="79"/>
      <c r="H294" s="79"/>
      <c r="I294" s="79"/>
      <c r="J294" s="79"/>
      <c r="K294" s="80"/>
      <c r="L294" s="79"/>
      <c r="M294" s="79"/>
      <c r="N294" s="79"/>
      <c r="O294" s="79"/>
      <c r="P294" s="79"/>
      <c r="Q294" s="79"/>
      <c r="R294" s="79"/>
      <c r="S294" s="80"/>
      <c r="T294" s="72"/>
      <c r="U294" s="79"/>
      <c r="V294" s="79"/>
      <c r="W294" s="79"/>
      <c r="X294" s="79"/>
      <c r="Y294" s="79"/>
      <c r="Z294" s="79"/>
      <c r="AA294" s="80"/>
      <c r="AB294" s="79"/>
      <c r="AC294" s="79"/>
      <c r="AD294" s="79"/>
      <c r="AE294" s="79"/>
      <c r="AF294" s="79"/>
      <c r="AG294" s="79"/>
      <c r="AH294" s="79"/>
      <c r="AI294" s="81"/>
    </row>
  </sheetData>
  <mergeCells count="10">
    <mergeCell ref="L38:S38"/>
    <mergeCell ref="T38:AA38"/>
    <mergeCell ref="AB38:AI38"/>
    <mergeCell ref="B4:B6"/>
    <mergeCell ref="C4:M34"/>
    <mergeCell ref="P4:Q6"/>
    <mergeCell ref="R4:AB34"/>
    <mergeCell ref="B38:B39"/>
    <mergeCell ref="C38:C39"/>
    <mergeCell ref="D38:K3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18.63"/>
    <col customWidth="1" min="5" max="36" width="7.63"/>
  </cols>
  <sheetData>
    <row r="4">
      <c r="B4" s="37" t="s">
        <v>447</v>
      </c>
      <c r="C4" s="38" t="str">
        <f>IFERROR(__xludf.DUMMYFUNCTION("CONCATENATE(JOIN("""", TOROW(MAP({D39:AJ73}, LAMBDA(cell, IF(ISBLANK(cell), DEC2HEX(65535), CONCATENATE(RIGHT(DEC2HEX(cell, 4), 2), LEFT(DEC2HEX(cell, 4), 2))   ) )))), ""0000"")       "),"000000000000FFFFFFFFFFFFFFFFFFFFFFFF01000100FFFFFFFFFFFFFFFFFFFFFFFFFFFFFFFFFFFFFFFFFFFFFFFFFFFFFFFFFFFFFFFFFFFFFFFFFFFFFFFFFFFFFFFF00000200020003000300040004000500050006000600070007000800080009000900FFFFFFFFFFFFFFFFFFFFFFFFFFFFFFFFFFFFFFFFFFFFFFFFFFFFFFF"&amp;"FFFFFFFFF00000A000A00FFFFFFFFFFFFFFFFFFFFFFFFFFFFFFFFFFFFFFFFFFFFFFFFFFFFFFFFFFFFFFFFFFFFFFFFFFFFFFFFFFFFFFFFFFFFFFFFFFFFFFFFFFFFFFFFFFFFFFFF00000B000B00FFFFFFFFFFFFFFFFFFFFFFFFFFFFFFFFFFFFFFFFFFFFFFFFFFFFFFFFFFFFFFFFFFFFFFFFFFFFFFFFFFFFFFFFFFFFFFFFFFFFFF"&amp;"FFFFFFFFFFFFFFFFFF00000C000D00FFFFFFFFFFFFFFFFFFFFFFFFFFFFFFFFFFFFFFFFFFFFFFFFFFFFFFFFFFFFFFFFFFFFFFFFFFFFFFFFFFFFFFFFFFFFFFFFFFFFFFFFFFFFFFFFFFFFFFFF00000E000F00FFFFFFFFFFFFFFFFFFFFFFFF10001100FFFFFFFFFFFFFFFFFFFFFFFFFFFFFFFFFFFFFFFFFFFFFFFFFFFFFFFFFFFFF"&amp;"FFFFFFFFFFFFFFFFFFFFFFFFFFF00000E000F000E000F000E000F000E000F0010001100100011001000110010001100FFFFFFFFFFFFFFFFFFFFFFFFFFFFFFFFFFFFFFFFFFFFFFFFFFFFFFFFFFFFFFFF000012001300FFFFFFFFFFFFFFFFFFFFFFFF14001500FFFFFFFFFFFFFFFFFFFFFFFFFFFFFFFFFFFFFFFFFFFFFFFFFFFF"&amp;"FFFFFFFFFFFFFFFFFFFFFFFFFFFFFFFFFFFF000016001600FFFFFFFFFFFFFFFFFFFFFFFFFFFFFFFFFFFFFFFFFFFFFFFFFFFFFFFF17001700FFFFFFFFFFFFFFFFFFFFFFFFFFFFFFFFFFFFFFFFFFFFFFFFFFFFFFFF000018001800FFFFFFFFFFFFFFFFFFFFFFFFFFFFFFFFFFFFFFFFFFFFFFFFFFFFFFFF19001900FFFFFFFFFFF"&amp;"FFFFFFFFFFFFFFFFFFFFFFFFFFFFFFFFFFFFFFFFFFFFF00001A001A00FFFFFFFFFFFFFFFFFFFFFFFFFFFFFFFFFFFFFFFFFFFFFFFFFFFFFFFFFFFFFFFFFFFFFFFFFFFFFFFFFFFFFFFFFFFFFFFFFFFFFFFFFFFFFFFFFFFFFFFF00001B001B00FFFFFFFFFFFFFFFFFFFFFFFFFFFFFFFFFFFFFFFFFFFFFFFFFFFFFFFFFFFFFFFFFF"&amp;"FFFFFFFFFFFFFFFFFFFFFFFFFFFFFFFFFFFFFFFFFFFFFFFFFFFFFF00001C001C00FFFFFFFFFFFFFFFFFFFFFFFF1D001D00FFFFFFFFFFFFFFFFFFFFFFFFFFFFFFFFFFFFFFFFFFFFFFFFFFFFFFFFFFFFFFFFFFFFFFFFFFFFFFFFFFFFFFFF00001E001E00FFFFFFFFFFFFFFFFFFFFFFFFFFFFFFFFFFFFFFFFFFFFFFFFFFFFFFFFF"&amp;"FFFFFFFFFFFFFFFFFFFFFFFFFFFFFFFFFFFFFFFFFFFFFFFFFFFFFFFFFFFFFFF00001F001F00FFFFFFFFFFFFFFFFFFFFFFFFFFFFFFFFFFFFFFFFFFFFFFFFFFFFFFFFFFFFFFFFFFFFFFFFFFFFFFFFFFFFFFFFFFFFFFFFFFFFFFFFFFFFFFFFFFFFFFFF000020002000FFFFFFFFFFFFFFFFFFFFFFFFFFFFFFFFFFFFFFFFFFFFFFFF"&amp;"FFFFFFFFFFFFFFFFFFFFFFFFFFFFFFFFFFFFFFFFFFFFFFFFFFFFFFFFFFFFFFFFFFFFFFFF000021002100FFFFFFFFFFFFFFFFFFFFFFFFFFFFFFFFFFFFFFFFFFFFFFFFFFFFFFFFFFFFFFFFFFFFFFFFFFFFFFFFFFFFFFFFFFFFFFFFFFFFFFFFFFFFFFFFFFFFFFFF000022002200FFFFFFFFFFFFFFFFFFFFFFFFFFFFFFFFFFFFFFF"&amp;"FFFFFFFFFFFFFFFFFFFFFFFFFFFFFFFFFFFFFFFFFFFFFFFFFFFFFFFFFFFFFFFFFFFFFFFFFFFFFFFFF000023002300FFFFFFFFFFFFFFFFFFFFFFFFFFFFFFFFFFFFFFFFFFFFFFFFFFFFFFFFFFFFFFFFFFFFFFFFFFFFFFFFFFFFFFFFFFFFFFFFFFFFFFFFFFFFFFFFFFFFFFFF000024002400FFFFFFFFFFFFFFFFFFFFFFFFFFFFFF"&amp;"FFFFFFFFFFFFFFFFFFFFFFFFFFFFFFFFFFFFFFFFFFFFFFFFFFFFFFFFFFFFFFFFFFFFFFFFFFFFFFFFFFFFFFFFFF000025002500FFFFFFFFFFFFFFFFFFFFFFFFFFFFFFFFFFFFFFFFFFFFFFFFFFFFFFFFFFFFFFFFFFFFFFFFFFFFFFFFFFFFFFFFFFFFFFFFFFFFFFFFFFFFFFFFFFFFFFFF000026002600FFFFFFFFFFFFFFFFFFFFF"&amp;"FFFFFFFFFFFFFFFFFFFFFFFFFFFFFFFFFFFFFFFFFFFFFFFFFFFFFFFFFFFFFFFFFFFFFFFFFFFFFFFFFFFFFFFFFFFFFFFFFFF00002700280029002A002B002C002D002E002F003000310032003300340035003600FFFFFFFFFFFFFFFFFFFFFFFFFFFFFFFFFFFFFFFFFFFFFFFFFFFFFFFFFFFFFFFF000037003800FFFFFFFFFFFF"&amp;"FFFFFFFFFFFF39003A00FFFFFFFFFFFFFFFFFFFFFFFFFFFFFFFFFFFFFFFFFFFFFFFFFFFFFFFFFFFFFFFFFFFFFFFFFFFFFFFFFFFFFFFF00003B003C00FFFFFFFFFFFFFFFFFFFFFFFFFFFFFFFFFFFFFFFFFFFFFFFFFFFFFFFFFFFFFFFFFFFFFFFFFFFFFFFFFFFFFFFFFFFFFFFFFFFFFFFFFFFFFFFFFFFFFFFF00003D003D00FFF"&amp;"FFFFFFFFFFFFFFFFFFFFF3E003E00FFFFFFFFFFFFFFFFFFFFFFFFFFFFFFFFFFFFFFFFFFFFFFFFFFFFFFFFFFFFFFFFFFFFFFFFFFFFFFFFFFFFFFFF00003F003F00FFFFFFFFFFFFFFFFFFFFFFFFFFFFFFFFFFFFFFFFFFFFFFFFFFFFFFFFFFFFFFFFFFFFFFFFFFFFFFFFFFFFFFFFFFFFFFFFFFFFFFFFFFFFFFFFFFFFFFFF000040"&amp;"004000FFFFFFFFFFFFFFFFFFFFFFFFFFFFFFFFFFFFFFFFFFFFFFFFFFFFFFFFFFFFFFFFFFFFFFFFFFFFFFFFFFFFFFFFFFFFFFFFFFFFFFFFFFFFFFFFFFFFFFFF000041004200FFFFFFFFFFFFFFFFFFFFFFFFFFFFFFFFFFFFFFFFFFFFFFFFFFFFFFFFFFFFFFFFFFFFFFFFFFFFFFFFFFFFFFFFFFFFFFFFFFFFFFFFFFFFFFFFFFFFF"&amp;"FFF000043004300FFFFFFFFFFFFFFFFFFFFFFFFFFFFFFFFFFFFFFFFFFFFFFFFFFFFFFFFFFFFFFFFFFFFFFFFFFFFFFFFFFFFFFFFFFFFFFFFFFFFFFFFFFFFFFFFFFFFFFFF000044004400FFFFFFFFFFFFFFFFFFFFFFFFFFFFFFFFFFFFFFFFFFFFFFFFFFFFFFFFFFFFFFFFFFFFFFFFFFFFFFFFFFFFFFFFFFFFFFFFFFFFFFFFFFFF"&amp;"FFFFFFFFFFFF000045004500FFFFFFFFFFFFFFFFFFFFFFFFFFFFFFFFFFFFFFFFFFFFFFFFFFFFFFFFFFFFFFFFFFFFFFFFFFFFFFFFFFFFFFFFFFFFFFFFFFFFFFFFFFFFFFFFFFFFFFFF000046004600FFFFFFFFFFFFFFFFFFFFFFFFFFFFFFFFFFFFFFFFFFFFFFFFFFFFFFFFFFFFFFFFFFFFFFFFFFFFFFFFFFFFFFFFFFFFFFFFFFF"&amp;"FFFFFFFFFFFFFFFFFFFFF000047004700FFFFFFFFFFFFFFFFFFFFFFFFFFFFFFFFFFFFFFFFFFFFFFFFFFFFFFFFFFFFFFFFFFFFFFFFFFFFFFFFFFFFFFFFFFFFFFFFFFFFFFFFFFFFFFFFFFFFFFFF000048004900FFFFFFFFFFFFFFFFFFFFFFFFFFFFFFFFFFFFFFFFFFFFFFFFFFFFFFFFFFFFFFFFFFFFFFFFFFFFFFFFFFFFFFFFFF"&amp;"FFFFFFFFFFFFFFFFFFFFFFFFFFFFFF0000")</f>
        <v>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v>
      </c>
      <c r="D4" s="39"/>
      <c r="E4" s="39"/>
      <c r="F4" s="39"/>
      <c r="G4" s="39"/>
      <c r="H4" s="39"/>
      <c r="I4" s="39"/>
      <c r="J4" s="39"/>
      <c r="K4" s="39"/>
      <c r="L4" s="39"/>
      <c r="M4" s="40"/>
      <c r="P4" s="41" t="s">
        <v>448</v>
      </c>
      <c r="Q4" s="40"/>
      <c r="R4" s="38" t="str">
        <f>IFERROR(__xludf.DUMMYFUNCTION("CONCATENATE(JOIN("""", TOROW(MAP({D39:AJ85}, LAMBDA(cell, IF(ISBLANK(cell), DEC2HEX(65535), CONCATENATE(RIGHT(DEC2HEX(cell, 4), 2), LEFT(DEC2HEX(cell, 4), 2))   ) )))), ""0000"")       "),"000000000000FFFFFFFFFFFFFFFFFFFFFFFF01000100FFFFFFFFFFFFFFFFFFFFFFFFFFFFFFFFFFFFFFFFFFFFFFFFFFFFFFFFFFFFFFFFFFFFFFFFFFFFFFFFFFFFFFFF00000200020003000300040004000500050006000600070007000800080009000900FFFFFFFFFFFFFFFFFFFFFFFFFFFFFFFFFFFFFFFFFFFFFFFFFFFFFFF"&amp;"FFFFFFFFF00000A000A00FFFFFFFFFFFFFFFFFFFFFFFFFFFFFFFFFFFFFFFFFFFFFFFFFFFFFFFFFFFFFFFFFFFFFFFFFFFFFFFFFFFFFFFFFFFFFFFFFFFFFFFFFFFFFFFFFFFFFFFF00000B000B00FFFFFFFFFFFFFFFFFFFFFFFFFFFFFFFFFFFFFFFFFFFFFFFFFFFFFFFFFFFFFFFFFFFFFFFFFFFFFFFFFFFFFFFFFFFFFFFFFFFFFF"&amp;"FFFFFFFFFFFFFFFFFF00000C000D00FFFFFFFFFFFFFFFFFFFFFFFFFFFFFFFFFFFFFFFFFFFFFFFFFFFFFFFFFFFFFFFFFFFFFFFFFFFFFFFFFFFFFFFFFFFFFFFFFFFFFFFFFFFFFFFFFFFFFFFF00000E000F00FFFFFFFFFFFFFFFFFFFFFFFF10001100FFFFFFFFFFFFFFFFFFFFFFFFFFFFFFFFFFFFFFFFFFFFFFFFFFFFFFFFFFFFF"&amp;"FFFFFFFFFFFFFFFFFFFFFFFFFFF00000E000F000E000F000E000F000E000F0010001100100011001000110010001100FFFFFFFFFFFFFFFFFFFFFFFFFFFFFFFFFFFFFFFFFFFFFFFFFFFFFFFFFFFFFFFF000012001300FFFFFFFFFFFFFFFFFFFFFFFF14001500FFFFFFFFFFFFFFFFFFFFFFFFFFFFFFFFFFFFFFFFFFFFFFFFFFFF"&amp;"FFFFFFFFFFFFFFFFFFFFFFFFFFFFFFFFFFFF000016001600FFFFFFFFFFFFFFFFFFFFFFFFFFFFFFFFFFFFFFFFFFFFFFFFFFFFFFFF17001700FFFFFFFFFFFFFFFFFFFFFFFFFFFFFFFFFFFFFFFFFFFFFFFFFFFFFFFF000018001800FFFFFFFFFFFFFFFFFFFFFFFFFFFFFFFFFFFFFFFFFFFFFFFFFFFFFFFF19001900FFFFFFFFFFF"&amp;"FFFFFFFFFFFFFFFFFFFFFFFFFFFFFFFFFFFFFFFFFFFFF00001A001A00FFFFFFFFFFFFFFFFFFFFFFFFFFFFFFFFFFFFFFFFFFFFFFFFFFFFFFFFFFFFFFFFFFFFFFFFFFFFFFFFFFFFFFFFFFFFFFFFFFFFFFFFFFFFFFFFFFFFFFFF00001B001B00FFFFFFFFFFFFFFFFFFFFFFFFFFFFFFFFFFFFFFFFFFFFFFFFFFFFFFFFFFFFFFFFFF"&amp;"FFFFFFFFFFFFFFFFFFFFFFFFFFFFFFFFFFFFFFFFFFFFFFFFFFFFFF00001C001C00FFFFFFFFFFFFFFFFFFFFFFFF1D001D00FFFFFFFFFFFFFFFFFFFFFFFFFFFFFFFFFFFFFFFFFFFFFFFFFFFFFFFFFFFFFFFFFFFFFFFFFFFFFFFFFFFFFFFF00001E001E00FFFFFFFFFFFFFFFFFFFFFFFFFFFFFFFFFFFFFFFFFFFFFFFFFFFFFFFFF"&amp;"FFFFFFFFFFFFFFFFFFFFFFFFFFFFFFFFFFFFFFFFFFFFFFFFFFFFFFFFFFFFFFF00001F001F00FFFFFFFFFFFFFFFFFFFFFFFFFFFFFFFFFFFFFFFFFFFFFFFFFFFFFFFFFFFFFFFFFFFFFFFFFFFFFFFFFFFFFFFFFFFFFFFFFFFFFFFFFFFFFFFFFFFFFFFF000020002000FFFFFFFFFFFFFFFFFFFFFFFFFFFFFFFFFFFFFFFFFFFFFFFF"&amp;"FFFFFFFFFFFFFFFFFFFFFFFFFFFFFFFFFFFFFFFFFFFFFFFFFFFFFFFFFFFFFFFFFFFFFFFF000021002100FFFFFFFFFFFFFFFFFFFFFFFFFFFFFFFFFFFFFFFFFFFFFFFFFFFFFFFFFFFFFFFFFFFFFFFFFFFFFFFFFFFFFFFFFFFFFFFFFFFFFFFFFFFFFFFFFFFFFFFF000022002200FFFFFFFFFFFFFFFFFFFFFFFFFFFFFFFFFFFFFFF"&amp;"FFFFFFFFFFFFFFFFFFFFFFFFFFFFFFFFFFFFFFFFFFFFFFFFFFFFFFFFFFFFFFFFFFFFFFFFFFFFFFFFF000023002300FFFFFFFFFFFFFFFFFFFFFFFFFFFFFFFFFFFFFFFFFFFFFFFFFFFFFFFFFFFFFFFFFFFFFFFFFFFFFFFFFFFFFFFFFFFFFFFFFFFFFFFFFFFFFFFFFFFFFFFF000024002400FFFFFFFFFFFFFFFFFFFFFFFFFFFFFF"&amp;"FFFFFFFFFFFFFFFFFFFFFFFFFFFFFFFFFFFFFFFFFFFFFFFFFFFFFFFFFFFFFFFFFFFFFFFFFFFFFFFFFFFFFFFFFF000025002500FFFFFFFFFFFFFFFFFFFFFFFFFFFFFFFFFFFFFFFFFFFFFFFFFFFFFFFFFFFFFFFFFFFFFFFFFFFFFFFFFFFFFFFFFFFFFFFFFFFFFFFFFFFFFFFFFFFFFFFF000026002600FFFFFFFFFFFFFFFFFFFFF"&amp;"FFFFFFFFFFFFFFFFFFFFFFFFFFFFFFFFFFFFFFFFFFFFFFFFFFFFFFFFFFFFFFFFFFFFFFFFFFFFFFFFFFFFFFFFFFFFFFFFFFF00002700280029002A002B002C002D002E002F003000310032003300340035003600FFFFFFFFFFFFFFFFFFFFFFFFFFFFFFFFFFFFFFFFFFFFFFFFFFFFFFFFFFFFFFFF000037003800FFFFFFFFFFFF"&amp;"FFFFFFFFFFFF39003A00FFFFFFFFFFFFFFFFFFFFFFFFFFFFFFFFFFFFFFFFFFFFFFFFFFFFFFFFFFFFFFFFFFFFFFFFFFFFFFFFFFFFFFFF00003B003C00FFFFFFFFFFFFFFFFFFFFFFFFFFFFFFFFFFFFFFFFFFFFFFFFFFFFFFFFFFFFFFFFFFFFFFFFFFFFFFFFFFFFFFFFFFFFFFFFFFFFFFFFFFFFFFFFFFFFFFFF00003D003D00FFF"&amp;"FFFFFFFFFFFFFFFFFFFFF3E003E00FFFFFFFFFFFFFFFFFFFFFFFFFFFFFFFFFFFFFFFFFFFFFFFFFFFFFFFFFFFFFFFFFFFFFFFFFFFFFFFFFFFFFFFF00003F003F00FFFFFFFFFFFFFFFFFFFFFFFFFFFFFFFFFFFFFFFFFFFFFFFFFFFFFFFFFFFFFFFFFFFFFFFFFFFFFFFFFFFFFFFFFFFFFFFFFFFFFFFFFFFFFFFFFFFFFFFF000040"&amp;"004000FFFFFFFFFFFFFFFFFFFFFFFFFFFFFFFFFFFFFFFFFFFFFFFFFFFFFFFFFFFFFFFFFFFFFFFFFFFFFFFFFFFFFFFFFFFFFFFFFFFFFFFFFFFFFFFFFFFFFFFF000041004200FFFFFFFFFFFFFFFFFFFFFFFFFFFFFFFFFFFFFFFFFFFFFFFFFFFFFFFFFFFFFFFFFFFFFFFFFFFFFFFFFFFFFFFFFFFFFFFFFFFFFFFFFFFFFFFFFFFFF"&amp;"FFF000043004300FFFFFFFFFFFFFFFFFFFFFFFFFFFFFFFFFFFFFFFFFFFFFFFFFFFFFFFFFFFFFFFFFFFFFFFFFFFFFFFFFFFFFFFFFFFFFFFFFFFFFFFFFFFFFFFFFFFFFFFF000044004400FFFFFFFFFFFFFFFFFFFFFFFFFFFFFFFFFFFFFFFFFFFFFFFFFFFFFFFFFFFFFFFFFFFFFFFFFFFFFFFFFFFFFFFFFFFFFFFFFFFFFFFFFFFF"&amp;"FFFFFFFFFFFF000045004500FFFFFFFFFFFFFFFFFFFFFFFFFFFFFFFFFFFFFFFFFFFFFFFFFFFFFFFFFFFFFFFFFFFFFFFFFFFFFFFFFFFFFFFFFFFFFFFFFFFFFFFFFFFFFFFFFFFFFFFF000046004600FFFFFFFFFFFFFFFFFFFFFFFFFFFFFFFFFFFFFFFFFFFFFFFFFFFFFFFFFFFFFFFFFFFFFFFFFFFFFFFFFFFFFFFFFFFFFFFFFFF"&amp;"FFFFFFFFFFFFFFFFFFFFF000047004700FFFFFFFFFFFFFFFFFFFFFFFFFFFFFFFFFFFFFFFFFFFFFFFFFFFFFFFFFFFFFFFFFFFFFFFFFFFFFFFFFFFFFFFFFFFFFFFFFFFFFFFFFFFFFFFFFFFFFFFF000048004900FFFFFFFFFFFFFFFFFFFFFFFFFFFFFFFFFFFFFFFFFFFFFFFFFFFFFFFFFFFFFFFFFFFFFFFFFFFFFFFFFFFFFFFFFF"&amp;"FFFFFFFFFFFFFFFFFFFFFFFFFFFFFF0000FFFFFFFFFFFFFFFFFFFFFFFFFFFFFFFFFFFFFFFFFFFFFFFFFFFFFFFFFFFFFFFFFFFFFFFFFFFFFFFFFFFFFFFFFFFFFFFFFFFFFFFFFFFFFFFFFFFFFFFFFFFFFFFF0000FFFFFFFFFFFFFFFFFFFFFFFFFFFFFFFFFFFFFFFFFFFFFFFFFFFFFFFFFFFFFFFFFFFFFFFFFFFFFFFFFFFFFFFFF"&amp;"FFFFFFFFFFFFFFFFFFFFFFFFFFFFFFFFFFFFFFF0000FFFFFFFFFFFFFFFFFFFFFFFFFFFFFFFFFFFFFFFFFFFFFFFFFFFFFFFFFFFFFFFFFFFFFFFFFFFFFFFFFFFFFFFFFFFFFFFFFFFFFFFFFFFFFFFFFFFFFFFFFFFFFFFF0000FFFFFFFFFFFFFFFFFFFFFFFFFFFFFFFFFFFFFFFFFFFFFFFFFFFFFFFFFFFFFFFFFFFFFFFFFFFFFFFF"&amp;"FFFFFFFFFFFFFFFFFFFFFFFFFFFFFFFFFFFFFFFFFFFFFFFF0000FFFFFFFFFFFFFFFFFFFFFFFFFFFFFFFFFFFFFFFFFFFFFFFFFFFFFFFFFFFFFFFFFFFFFFFFFFFFFFFFFFFFFFFFFFFFFFFFFFFFFFFFFFFFFFFFFFFFFFFFFFFFFFFF0000FFFFFFFFFFFFFFFFFFFFFFFFFFFFFFFFFFFFFFFFFFFFFFFFFFFFFFFFFFFFFFFFFFFFFFF"&amp;"FFFFFFFFFFFFFFFFFFFFFFFFFFFFFFFFFFFFFFFFFFFFFFFFFFFFFFFFF0000FFFFFFFFFFFFFFFFFFFFFFFFFFFFFFFFFFFFFFFFFFFFFFFFFFFFFFFFFFFFFFFFFFFFFFFFFFFFFFFFFFFFFFFFFFFFFFFFFFFFFFFFFFFFFFFFFFFFFFFFFFFFFFFF0000FFFFFFFFFFFFFFFFFFFFFFFFFFFFFFFFFFFFFFFFFFFFFFFFFFFFFFFFFFFFFF"&amp;"FFFFFFFFFFFFFFFFFFFFFFFFFFFFFFFFFFFFFFFFFFFFFFFFFFFFFFFFFFFFFFFFFF0000FFFFFFFFFFFFFFFFFFFFFFFFFFFFFFFFFFFFFFFFFFFFFFFFFFFFFFFFFFFFFFFFFFFFFFFFFFFFFFFFFFFFFFFFFFFFFFFFFFFFFFFFFFFFFFFFFFFFFFFFFFFFFFFF0000FFFFFFFFFFFFFFFFFFFFFFFFFFFFFFFFFFFFFFFFFFFFFFFFFFFFF"&amp;"FFFFFFFFFFFFFFFFFFFFFFFFFFFFFFFFFFFFFFFFFFFFFFFFFFFFFFFFFFFFFFFFFFFFFFFFFFF0000FFFFFFFFFFFFFFFFFFFFFFFFFFFFFFFFFFFFFFFFFFFFFFFFFFFFFFFFFFFFFFFFFFFFFFFFFFFFFFFFFFFFFFFFFFFFFFFFFFFFFFFFFFFFFFFFFFFFFFFFFFFFFFFF0000FFFFFFFFFFFFFFFFFFFFFFFFFFFFFFFFFFFFFFFFFFFF"&amp;"FFFFFFFFFFFFFFFFFFFFFFFFFFFFFFFFFFFFFFFFFFFFFFFFFFFFFFFFFFFFFFFFFFFFFFFFFFFFFFFFFFFF0000")</f>
        <v>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FFFFFFFFFFFFFFFFFFFFFFFFFFFFFFFFFFFFFFFFFFFFFFFFFFFFFFFFFFFFFFFFFFFFFFFFFFFFFFFFFFFFFFFFFFFFFFFFFFFFFFFFFFFFFFFFFFFFFFFFFFFFFFFF0000</v>
      </c>
      <c r="S4" s="39"/>
      <c r="T4" s="39"/>
      <c r="U4" s="39"/>
      <c r="V4" s="39"/>
      <c r="W4" s="39"/>
      <c r="X4" s="39"/>
      <c r="Y4" s="39"/>
      <c r="Z4" s="39"/>
      <c r="AA4" s="39"/>
      <c r="AB4" s="40"/>
    </row>
    <row r="5">
      <c r="B5" s="42"/>
      <c r="C5" s="43"/>
      <c r="M5" s="44"/>
      <c r="P5" s="43"/>
      <c r="Q5" s="44"/>
      <c r="R5" s="43"/>
      <c r="AB5" s="44"/>
    </row>
    <row r="6">
      <c r="B6" s="45"/>
      <c r="C6" s="43"/>
      <c r="M6" s="44"/>
      <c r="P6" s="46"/>
      <c r="Q6" s="47"/>
      <c r="R6" s="43"/>
      <c r="AB6" s="44"/>
    </row>
    <row r="7">
      <c r="C7" s="43"/>
      <c r="M7" s="44"/>
      <c r="R7" s="43"/>
      <c r="AB7" s="44"/>
    </row>
    <row r="8">
      <c r="C8" s="43"/>
      <c r="M8" s="44"/>
      <c r="R8" s="43"/>
      <c r="AB8" s="44"/>
    </row>
    <row r="9">
      <c r="C9" s="43"/>
      <c r="M9" s="44"/>
      <c r="R9" s="43"/>
      <c r="AB9" s="44"/>
    </row>
    <row r="10">
      <c r="C10" s="43"/>
      <c r="M10" s="44"/>
      <c r="R10" s="43"/>
      <c r="AB10" s="44"/>
    </row>
    <row r="11">
      <c r="C11" s="43"/>
      <c r="M11" s="44"/>
      <c r="R11" s="43"/>
      <c r="AB11" s="44"/>
    </row>
    <row r="12">
      <c r="C12" s="43"/>
      <c r="M12" s="44"/>
      <c r="R12" s="43"/>
      <c r="AB12" s="44"/>
    </row>
    <row r="13">
      <c r="C13" s="43"/>
      <c r="M13" s="44"/>
      <c r="R13" s="43"/>
      <c r="AB13" s="44"/>
    </row>
    <row r="14">
      <c r="C14" s="43"/>
      <c r="M14" s="44"/>
      <c r="R14" s="43"/>
      <c r="AB14" s="44"/>
    </row>
    <row r="15">
      <c r="C15" s="43"/>
      <c r="M15" s="44"/>
      <c r="R15" s="43"/>
      <c r="AB15" s="44"/>
    </row>
    <row r="16">
      <c r="C16" s="43"/>
      <c r="M16" s="44"/>
      <c r="R16" s="43"/>
      <c r="AB16" s="44"/>
    </row>
    <row r="17">
      <c r="C17" s="43"/>
      <c r="M17" s="44"/>
      <c r="R17" s="43"/>
      <c r="AB17" s="44"/>
    </row>
    <row r="18">
      <c r="C18" s="43"/>
      <c r="M18" s="44"/>
      <c r="R18" s="43"/>
      <c r="AB18" s="44"/>
    </row>
    <row r="19">
      <c r="C19" s="43"/>
      <c r="M19" s="44"/>
      <c r="R19" s="43"/>
      <c r="AB19" s="44"/>
    </row>
    <row r="20">
      <c r="C20" s="43"/>
      <c r="M20" s="44"/>
      <c r="R20" s="43"/>
      <c r="AB20" s="44"/>
    </row>
    <row r="21">
      <c r="C21" s="43"/>
      <c r="M21" s="44"/>
      <c r="R21" s="43"/>
      <c r="AB21" s="44"/>
    </row>
    <row r="22">
      <c r="C22" s="43"/>
      <c r="M22" s="44"/>
      <c r="R22" s="43"/>
      <c r="AB22" s="44"/>
    </row>
    <row r="23">
      <c r="C23" s="43"/>
      <c r="M23" s="44"/>
      <c r="R23" s="43"/>
      <c r="AB23" s="44"/>
    </row>
    <row r="24">
      <c r="C24" s="43"/>
      <c r="M24" s="44"/>
      <c r="R24" s="43"/>
      <c r="AB24" s="44"/>
    </row>
    <row r="25">
      <c r="C25" s="43"/>
      <c r="M25" s="44"/>
      <c r="R25" s="43"/>
      <c r="AB25" s="44"/>
    </row>
    <row r="26">
      <c r="C26" s="43"/>
      <c r="M26" s="44"/>
      <c r="R26" s="43"/>
      <c r="AB26" s="44"/>
    </row>
    <row r="27">
      <c r="C27" s="43"/>
      <c r="M27" s="44"/>
      <c r="R27" s="43"/>
      <c r="AB27" s="44"/>
    </row>
    <row r="28">
      <c r="C28" s="43"/>
      <c r="M28" s="44"/>
      <c r="R28" s="43"/>
      <c r="AB28" s="44"/>
    </row>
    <row r="29">
      <c r="C29" s="43"/>
      <c r="M29" s="44"/>
      <c r="R29" s="43"/>
      <c r="AB29" s="44"/>
    </row>
    <row r="30">
      <c r="C30" s="43"/>
      <c r="M30" s="44"/>
      <c r="R30" s="43"/>
      <c r="AB30" s="44"/>
    </row>
    <row r="31">
      <c r="C31" s="43"/>
      <c r="M31" s="44"/>
      <c r="R31" s="43"/>
      <c r="AB31" s="44"/>
    </row>
    <row r="32">
      <c r="C32" s="43"/>
      <c r="M32" s="44"/>
      <c r="R32" s="43"/>
      <c r="AB32" s="44"/>
    </row>
    <row r="33">
      <c r="C33" s="43"/>
      <c r="M33" s="44"/>
      <c r="R33" s="43"/>
      <c r="AB33" s="44"/>
    </row>
    <row r="34">
      <c r="C34" s="46"/>
      <c r="D34" s="48"/>
      <c r="E34" s="48"/>
      <c r="F34" s="48"/>
      <c r="G34" s="48"/>
      <c r="H34" s="48"/>
      <c r="I34" s="48"/>
      <c r="J34" s="48"/>
      <c r="K34" s="48"/>
      <c r="L34" s="48"/>
      <c r="M34" s="47"/>
      <c r="R34" s="46"/>
      <c r="S34" s="48"/>
      <c r="T34" s="48"/>
      <c r="U34" s="48"/>
      <c r="V34" s="48"/>
      <c r="W34" s="48"/>
      <c r="X34" s="48"/>
      <c r="Y34" s="48"/>
      <c r="Z34" s="48"/>
      <c r="AA34" s="48"/>
      <c r="AB34" s="47"/>
    </row>
    <row r="37">
      <c r="B37" s="49" t="s">
        <v>194</v>
      </c>
      <c r="C37" s="82" t="s">
        <v>450</v>
      </c>
      <c r="D37" s="82" t="s">
        <v>655</v>
      </c>
      <c r="E37" s="52" t="s">
        <v>656</v>
      </c>
      <c r="F37" s="39"/>
      <c r="G37" s="39"/>
      <c r="H37" s="39"/>
      <c r="I37" s="39"/>
      <c r="J37" s="39"/>
      <c r="K37" s="39"/>
      <c r="L37" s="39"/>
      <c r="M37" s="52" t="s">
        <v>657</v>
      </c>
      <c r="N37" s="39"/>
      <c r="O37" s="39"/>
      <c r="P37" s="39"/>
      <c r="Q37" s="39"/>
      <c r="R37" s="39"/>
      <c r="S37" s="39"/>
      <c r="T37" s="39"/>
      <c r="U37" s="52" t="s">
        <v>658</v>
      </c>
      <c r="V37" s="39"/>
      <c r="W37" s="39"/>
      <c r="X37" s="39"/>
      <c r="Y37" s="39"/>
      <c r="Z37" s="39"/>
      <c r="AA37" s="39"/>
      <c r="AB37" s="53"/>
      <c r="AC37" s="51" t="s">
        <v>659</v>
      </c>
      <c r="AD37" s="39"/>
      <c r="AE37" s="39"/>
      <c r="AF37" s="39"/>
      <c r="AG37" s="39"/>
      <c r="AH37" s="39"/>
      <c r="AI37" s="39"/>
      <c r="AJ37" s="40"/>
    </row>
    <row r="38">
      <c r="A38" s="54"/>
      <c r="B38" s="46"/>
      <c r="C38" s="83"/>
      <c r="D38" s="83"/>
      <c r="E38" s="57" t="s">
        <v>660</v>
      </c>
      <c r="F38" s="56" t="s">
        <v>661</v>
      </c>
      <c r="G38" s="56" t="s">
        <v>662</v>
      </c>
      <c r="H38" s="56" t="s">
        <v>663</v>
      </c>
      <c r="I38" s="56" t="s">
        <v>664</v>
      </c>
      <c r="J38" s="56" t="s">
        <v>665</v>
      </c>
      <c r="K38" s="56" t="s">
        <v>666</v>
      </c>
      <c r="L38" s="56" t="s">
        <v>667</v>
      </c>
      <c r="M38" s="57" t="s">
        <v>660</v>
      </c>
      <c r="N38" s="56" t="s">
        <v>661</v>
      </c>
      <c r="O38" s="56" t="s">
        <v>662</v>
      </c>
      <c r="P38" s="56" t="s">
        <v>663</v>
      </c>
      <c r="Q38" s="56" t="s">
        <v>664</v>
      </c>
      <c r="R38" s="56" t="s">
        <v>665</v>
      </c>
      <c r="S38" s="56" t="s">
        <v>666</v>
      </c>
      <c r="T38" s="56" t="s">
        <v>667</v>
      </c>
      <c r="U38" s="57" t="s">
        <v>660</v>
      </c>
      <c r="V38" s="56" t="s">
        <v>661</v>
      </c>
      <c r="W38" s="56" t="s">
        <v>662</v>
      </c>
      <c r="X38" s="56" t="s">
        <v>663</v>
      </c>
      <c r="Y38" s="56" t="s">
        <v>664</v>
      </c>
      <c r="Z38" s="56" t="s">
        <v>665</v>
      </c>
      <c r="AA38" s="56" t="s">
        <v>666</v>
      </c>
      <c r="AB38" s="58" t="s">
        <v>667</v>
      </c>
      <c r="AC38" s="56" t="s">
        <v>660</v>
      </c>
      <c r="AD38" s="56" t="s">
        <v>661</v>
      </c>
      <c r="AE38" s="56" t="s">
        <v>662</v>
      </c>
      <c r="AF38" s="56" t="s">
        <v>663</v>
      </c>
      <c r="AG38" s="56" t="s">
        <v>664</v>
      </c>
      <c r="AH38" s="56" t="s">
        <v>665</v>
      </c>
      <c r="AI38" s="56" t="s">
        <v>666</v>
      </c>
      <c r="AJ38" s="76" t="s">
        <v>667</v>
      </c>
      <c r="AK38" s="59"/>
    </row>
    <row r="39">
      <c r="B39" s="60">
        <v>0.0</v>
      </c>
      <c r="C39" s="23" t="s">
        <v>456</v>
      </c>
      <c r="D39" s="23">
        <v>0.0</v>
      </c>
      <c r="E39" s="16">
        <v>0.0</v>
      </c>
      <c r="F39" s="16">
        <v>0.0</v>
      </c>
      <c r="L39" s="63"/>
      <c r="M39" s="16">
        <v>1.0</v>
      </c>
      <c r="N39" s="16">
        <v>1.0</v>
      </c>
      <c r="T39" s="63"/>
      <c r="AB39" s="63"/>
      <c r="AJ39" s="77"/>
    </row>
    <row r="40">
      <c r="B40" s="60">
        <v>1.0</v>
      </c>
      <c r="C40" s="23" t="s">
        <v>668</v>
      </c>
      <c r="D40" s="23">
        <v>0.0</v>
      </c>
      <c r="E40" s="16">
        <v>2.0</v>
      </c>
      <c r="F40" s="16">
        <v>2.0</v>
      </c>
      <c r="G40" s="16">
        <v>3.0</v>
      </c>
      <c r="H40" s="16">
        <v>3.0</v>
      </c>
      <c r="I40" s="16">
        <v>4.0</v>
      </c>
      <c r="J40" s="16">
        <v>4.0</v>
      </c>
      <c r="K40" s="16">
        <v>5.0</v>
      </c>
      <c r="L40" s="23">
        <v>5.0</v>
      </c>
      <c r="M40" s="16">
        <v>6.0</v>
      </c>
      <c r="N40" s="16">
        <v>6.0</v>
      </c>
      <c r="O40" s="16">
        <v>7.0</v>
      </c>
      <c r="P40" s="16">
        <v>7.0</v>
      </c>
      <c r="Q40" s="16">
        <v>8.0</v>
      </c>
      <c r="R40" s="16">
        <v>8.0</v>
      </c>
      <c r="S40" s="16">
        <v>9.0</v>
      </c>
      <c r="T40" s="23">
        <v>9.0</v>
      </c>
      <c r="AB40" s="63"/>
      <c r="AJ40" s="77"/>
    </row>
    <row r="41">
      <c r="B41" s="60">
        <v>2.0</v>
      </c>
      <c r="C41" s="23" t="s">
        <v>167</v>
      </c>
      <c r="D41" s="23">
        <v>0.0</v>
      </c>
      <c r="E41" s="16">
        <v>10.0</v>
      </c>
      <c r="F41" s="16">
        <v>10.0</v>
      </c>
      <c r="L41" s="63"/>
      <c r="T41" s="63"/>
      <c r="AB41" s="63"/>
      <c r="AJ41" s="77"/>
    </row>
    <row r="42">
      <c r="B42" s="60">
        <v>3.0</v>
      </c>
      <c r="C42" s="23" t="s">
        <v>482</v>
      </c>
      <c r="D42" s="23">
        <v>0.0</v>
      </c>
      <c r="E42" s="16">
        <v>11.0</v>
      </c>
      <c r="F42" s="16">
        <v>11.0</v>
      </c>
      <c r="L42" s="63"/>
      <c r="T42" s="63"/>
      <c r="AB42" s="63"/>
      <c r="AJ42" s="77"/>
    </row>
    <row r="43">
      <c r="B43" s="60">
        <v>4.0</v>
      </c>
      <c r="C43" s="23" t="s">
        <v>465</v>
      </c>
      <c r="D43" s="23">
        <v>0.0</v>
      </c>
      <c r="E43" s="16">
        <v>12.0</v>
      </c>
      <c r="F43" s="16">
        <v>13.0</v>
      </c>
      <c r="L43" s="63"/>
      <c r="T43" s="63"/>
      <c r="AB43" s="63"/>
      <c r="AJ43" s="77"/>
    </row>
    <row r="44">
      <c r="B44" s="60">
        <v>5.0</v>
      </c>
      <c r="C44" s="23" t="s">
        <v>455</v>
      </c>
      <c r="D44" s="23">
        <v>0.0</v>
      </c>
      <c r="E44" s="16">
        <v>14.0</v>
      </c>
      <c r="F44" s="16">
        <v>15.0</v>
      </c>
      <c r="L44" s="63"/>
      <c r="M44" s="16">
        <v>16.0</v>
      </c>
      <c r="N44" s="16">
        <v>17.0</v>
      </c>
      <c r="T44" s="63"/>
      <c r="AB44" s="63"/>
      <c r="AJ44" s="77"/>
    </row>
    <row r="45">
      <c r="B45" s="60">
        <v>6.0</v>
      </c>
      <c r="C45" s="23" t="s">
        <v>475</v>
      </c>
      <c r="D45" s="23">
        <v>0.0</v>
      </c>
      <c r="E45" s="16">
        <v>14.0</v>
      </c>
      <c r="F45" s="16">
        <v>15.0</v>
      </c>
      <c r="G45" s="16">
        <v>14.0</v>
      </c>
      <c r="H45" s="16">
        <v>15.0</v>
      </c>
      <c r="I45" s="16">
        <v>14.0</v>
      </c>
      <c r="J45" s="16">
        <v>15.0</v>
      </c>
      <c r="K45" s="16">
        <v>14.0</v>
      </c>
      <c r="L45" s="23">
        <v>15.0</v>
      </c>
      <c r="M45" s="16">
        <v>16.0</v>
      </c>
      <c r="N45" s="16">
        <v>17.0</v>
      </c>
      <c r="O45" s="16">
        <v>16.0</v>
      </c>
      <c r="P45" s="16">
        <v>17.0</v>
      </c>
      <c r="Q45" s="16">
        <v>16.0</v>
      </c>
      <c r="R45" s="16">
        <v>17.0</v>
      </c>
      <c r="S45" s="16">
        <v>16.0</v>
      </c>
      <c r="T45" s="23">
        <v>17.0</v>
      </c>
      <c r="AB45" s="63"/>
      <c r="AJ45" s="77"/>
    </row>
    <row r="46">
      <c r="B46" s="60">
        <v>7.0</v>
      </c>
      <c r="C46" s="23" t="s">
        <v>480</v>
      </c>
      <c r="D46" s="23">
        <v>0.0</v>
      </c>
      <c r="E46" s="16">
        <v>18.0</v>
      </c>
      <c r="F46" s="16">
        <v>19.0</v>
      </c>
      <c r="L46" s="23"/>
      <c r="M46" s="16">
        <v>20.0</v>
      </c>
      <c r="N46" s="16">
        <v>21.0</v>
      </c>
      <c r="T46" s="23"/>
      <c r="AB46" s="63"/>
      <c r="AJ46" s="77"/>
    </row>
    <row r="47">
      <c r="B47" s="60">
        <v>8.0</v>
      </c>
      <c r="C47" s="23" t="s">
        <v>461</v>
      </c>
      <c r="D47" s="23">
        <v>0.0</v>
      </c>
      <c r="E47" s="16">
        <v>22.0</v>
      </c>
      <c r="F47" s="16">
        <v>22.0</v>
      </c>
      <c r="L47" s="63"/>
      <c r="T47" s="63"/>
      <c r="U47" s="16">
        <v>23.0</v>
      </c>
      <c r="V47" s="16">
        <v>23.0</v>
      </c>
      <c r="AB47" s="63"/>
      <c r="AJ47" s="77"/>
    </row>
    <row r="48">
      <c r="B48" s="60">
        <v>9.0</v>
      </c>
      <c r="C48" s="23" t="s">
        <v>669</v>
      </c>
      <c r="D48" s="23">
        <v>0.0</v>
      </c>
      <c r="E48" s="16">
        <v>24.0</v>
      </c>
      <c r="F48" s="16">
        <v>24.0</v>
      </c>
      <c r="L48" s="63"/>
      <c r="T48" s="63"/>
      <c r="U48" s="16">
        <v>25.0</v>
      </c>
      <c r="V48" s="16">
        <v>25.0</v>
      </c>
      <c r="AB48" s="63"/>
      <c r="AJ48" s="77"/>
    </row>
    <row r="49">
      <c r="B49" s="60">
        <v>10.0</v>
      </c>
      <c r="C49" s="23" t="s">
        <v>463</v>
      </c>
      <c r="D49" s="23">
        <v>0.0</v>
      </c>
      <c r="E49" s="16">
        <v>26.0</v>
      </c>
      <c r="F49" s="16">
        <v>26.0</v>
      </c>
      <c r="L49" s="63"/>
      <c r="T49" s="63"/>
      <c r="AB49" s="63"/>
      <c r="AJ49" s="77"/>
    </row>
    <row r="50">
      <c r="B50" s="60">
        <v>11.0</v>
      </c>
      <c r="C50" s="23" t="s">
        <v>670</v>
      </c>
      <c r="D50" s="23">
        <v>0.0</v>
      </c>
      <c r="E50" s="16">
        <v>27.0</v>
      </c>
      <c r="F50" s="16">
        <v>27.0</v>
      </c>
      <c r="L50" s="63"/>
      <c r="T50" s="63"/>
      <c r="AB50" s="63"/>
      <c r="AJ50" s="77"/>
    </row>
    <row r="51">
      <c r="B51" s="60">
        <v>12.0</v>
      </c>
      <c r="C51" s="23" t="s">
        <v>464</v>
      </c>
      <c r="D51" s="23">
        <v>0.0</v>
      </c>
      <c r="E51" s="16">
        <v>28.0</v>
      </c>
      <c r="F51" s="16">
        <v>28.0</v>
      </c>
      <c r="L51" s="63"/>
      <c r="M51" s="16">
        <v>29.0</v>
      </c>
      <c r="N51" s="16">
        <v>29.0</v>
      </c>
      <c r="T51" s="63"/>
      <c r="AB51" s="63"/>
      <c r="AJ51" s="77"/>
    </row>
    <row r="52">
      <c r="B52" s="60">
        <v>13.0</v>
      </c>
      <c r="C52" s="23" t="s">
        <v>468</v>
      </c>
      <c r="D52" s="23">
        <v>0.0</v>
      </c>
      <c r="E52" s="16">
        <v>30.0</v>
      </c>
      <c r="F52" s="16">
        <v>30.0</v>
      </c>
      <c r="L52" s="63"/>
      <c r="T52" s="63"/>
      <c r="AB52" s="63"/>
      <c r="AJ52" s="77"/>
    </row>
    <row r="53">
      <c r="B53" s="60">
        <v>14.0</v>
      </c>
      <c r="C53" s="23" t="s">
        <v>470</v>
      </c>
      <c r="D53" s="23">
        <v>0.0</v>
      </c>
      <c r="E53" s="16">
        <v>31.0</v>
      </c>
      <c r="F53" s="16">
        <v>31.0</v>
      </c>
      <c r="L53" s="63"/>
      <c r="T53" s="63"/>
      <c r="AB53" s="63"/>
      <c r="AJ53" s="77"/>
    </row>
    <row r="54">
      <c r="B54" s="60">
        <v>15.0</v>
      </c>
      <c r="C54" s="23" t="s">
        <v>591</v>
      </c>
      <c r="D54" s="23">
        <v>0.0</v>
      </c>
      <c r="E54" s="16">
        <v>32.0</v>
      </c>
      <c r="F54" s="16">
        <v>32.0</v>
      </c>
      <c r="L54" s="63"/>
      <c r="T54" s="63"/>
      <c r="AB54" s="63"/>
      <c r="AJ54" s="77"/>
    </row>
    <row r="55">
      <c r="B55" s="60">
        <v>16.0</v>
      </c>
      <c r="C55" s="23" t="s">
        <v>671</v>
      </c>
      <c r="D55" s="23">
        <v>0.0</v>
      </c>
      <c r="E55" s="16">
        <v>33.0</v>
      </c>
      <c r="F55" s="84">
        <v>33.0</v>
      </c>
      <c r="L55" s="63"/>
      <c r="T55" s="63"/>
      <c r="AB55" s="63"/>
      <c r="AJ55" s="77"/>
    </row>
    <row r="56">
      <c r="B56" s="60">
        <v>17.0</v>
      </c>
      <c r="C56" s="23" t="s">
        <v>593</v>
      </c>
      <c r="D56" s="23">
        <v>0.0</v>
      </c>
      <c r="E56" s="16">
        <v>34.0</v>
      </c>
      <c r="F56" s="16">
        <v>34.0</v>
      </c>
      <c r="L56" s="63"/>
      <c r="T56" s="63"/>
      <c r="AB56" s="63"/>
      <c r="AJ56" s="77"/>
    </row>
    <row r="57">
      <c r="B57" s="60">
        <v>18.0</v>
      </c>
      <c r="C57" s="23" t="s">
        <v>672</v>
      </c>
      <c r="D57" s="23">
        <v>0.0</v>
      </c>
      <c r="E57" s="16">
        <v>35.0</v>
      </c>
      <c r="F57" s="16">
        <v>35.0</v>
      </c>
      <c r="L57" s="63"/>
      <c r="T57" s="63"/>
      <c r="AB57" s="63"/>
      <c r="AJ57" s="77"/>
    </row>
    <row r="58">
      <c r="B58" s="60">
        <v>19.0</v>
      </c>
      <c r="C58" s="23" t="s">
        <v>487</v>
      </c>
      <c r="D58" s="23">
        <v>0.0</v>
      </c>
      <c r="E58" s="16">
        <v>36.0</v>
      </c>
      <c r="F58" s="16">
        <v>36.0</v>
      </c>
      <c r="L58" s="63"/>
      <c r="T58" s="63"/>
      <c r="AB58" s="63"/>
      <c r="AJ58" s="77"/>
    </row>
    <row r="59">
      <c r="B59" s="60">
        <v>20.0</v>
      </c>
      <c r="C59" s="23" t="s">
        <v>471</v>
      </c>
      <c r="D59" s="23">
        <v>0.0</v>
      </c>
      <c r="E59" s="16">
        <v>37.0</v>
      </c>
      <c r="F59" s="16">
        <v>37.0</v>
      </c>
      <c r="L59" s="63"/>
      <c r="T59" s="63"/>
      <c r="AB59" s="63"/>
      <c r="AJ59" s="77"/>
    </row>
    <row r="60">
      <c r="B60" s="60">
        <v>21.0</v>
      </c>
      <c r="C60" s="23" t="s">
        <v>488</v>
      </c>
      <c r="D60" s="23">
        <v>0.0</v>
      </c>
      <c r="E60" s="16">
        <v>38.0</v>
      </c>
      <c r="F60" s="16">
        <v>38.0</v>
      </c>
      <c r="L60" s="63"/>
      <c r="T60" s="63"/>
      <c r="AB60" s="63"/>
      <c r="AJ60" s="77"/>
    </row>
    <row r="61">
      <c r="B61" s="60">
        <v>22.0</v>
      </c>
      <c r="C61" s="23" t="s">
        <v>673</v>
      </c>
      <c r="D61" s="23">
        <v>0.0</v>
      </c>
      <c r="E61" s="16">
        <v>39.0</v>
      </c>
      <c r="F61" s="16">
        <v>40.0</v>
      </c>
      <c r="G61" s="16">
        <v>41.0</v>
      </c>
      <c r="H61" s="16">
        <v>42.0</v>
      </c>
      <c r="I61" s="16">
        <v>43.0</v>
      </c>
      <c r="J61" s="16">
        <v>44.0</v>
      </c>
      <c r="K61" s="16">
        <v>45.0</v>
      </c>
      <c r="L61" s="23">
        <v>46.0</v>
      </c>
      <c r="M61" s="16">
        <v>47.0</v>
      </c>
      <c r="N61" s="16">
        <v>48.0</v>
      </c>
      <c r="O61" s="16">
        <v>49.0</v>
      </c>
      <c r="P61" s="16">
        <v>50.0</v>
      </c>
      <c r="Q61" s="16">
        <v>51.0</v>
      </c>
      <c r="R61" s="16">
        <v>52.0</v>
      </c>
      <c r="S61" s="16">
        <v>53.0</v>
      </c>
      <c r="T61" s="23">
        <v>54.0</v>
      </c>
      <c r="AB61" s="63"/>
      <c r="AJ61" s="77"/>
    </row>
    <row r="62">
      <c r="B62" s="60">
        <v>23.0</v>
      </c>
      <c r="C62" s="23" t="s">
        <v>674</v>
      </c>
      <c r="D62" s="23">
        <v>0.0</v>
      </c>
      <c r="E62" s="16">
        <v>55.0</v>
      </c>
      <c r="F62" s="16">
        <v>56.0</v>
      </c>
      <c r="L62" s="63"/>
      <c r="M62" s="16">
        <v>57.0</v>
      </c>
      <c r="N62" s="16">
        <v>58.0</v>
      </c>
      <c r="T62" s="63"/>
      <c r="AB62" s="63"/>
      <c r="AJ62" s="77"/>
    </row>
    <row r="63">
      <c r="B63" s="60">
        <v>24.0</v>
      </c>
      <c r="C63" s="23" t="s">
        <v>675</v>
      </c>
      <c r="D63" s="23">
        <v>0.0</v>
      </c>
      <c r="E63" s="16">
        <v>59.0</v>
      </c>
      <c r="F63" s="16">
        <v>60.0</v>
      </c>
      <c r="L63" s="63"/>
      <c r="T63" s="63"/>
      <c r="AB63" s="63"/>
      <c r="AJ63" s="77"/>
    </row>
    <row r="64">
      <c r="B64" s="60">
        <v>25.0</v>
      </c>
      <c r="C64" s="23" t="s">
        <v>472</v>
      </c>
      <c r="D64" s="23">
        <v>0.0</v>
      </c>
      <c r="E64" s="16">
        <v>61.0</v>
      </c>
      <c r="F64" s="16">
        <v>61.0</v>
      </c>
      <c r="L64" s="63"/>
      <c r="M64" s="16">
        <v>62.0</v>
      </c>
      <c r="N64" s="16">
        <v>62.0</v>
      </c>
      <c r="T64" s="63"/>
      <c r="AB64" s="63"/>
      <c r="AJ64" s="77"/>
    </row>
    <row r="65">
      <c r="B65" s="60">
        <v>26.0</v>
      </c>
      <c r="C65" s="23" t="s">
        <v>167</v>
      </c>
      <c r="D65" s="23">
        <v>0.0</v>
      </c>
      <c r="E65" s="16">
        <v>63.0</v>
      </c>
      <c r="F65" s="16">
        <v>63.0</v>
      </c>
      <c r="L65" s="63"/>
      <c r="T65" s="63"/>
      <c r="AB65" s="63"/>
      <c r="AJ65" s="77"/>
    </row>
    <row r="66">
      <c r="B66" s="60">
        <v>27.0</v>
      </c>
      <c r="C66" s="23" t="s">
        <v>167</v>
      </c>
      <c r="D66" s="23">
        <v>0.0</v>
      </c>
      <c r="E66" s="16">
        <v>64.0</v>
      </c>
      <c r="F66" s="16">
        <v>64.0</v>
      </c>
      <c r="L66" s="63"/>
      <c r="T66" s="63"/>
      <c r="AB66" s="63"/>
      <c r="AJ66" s="77"/>
    </row>
    <row r="67">
      <c r="B67" s="60">
        <v>28.0</v>
      </c>
      <c r="C67" s="23" t="s">
        <v>492</v>
      </c>
      <c r="D67" s="23">
        <v>0.0</v>
      </c>
      <c r="E67" s="16">
        <v>65.0</v>
      </c>
      <c r="F67" s="16">
        <v>66.0</v>
      </c>
      <c r="L67" s="63"/>
      <c r="T67" s="63"/>
      <c r="AB67" s="63"/>
      <c r="AJ67" s="77"/>
    </row>
    <row r="68">
      <c r="B68" s="60">
        <v>29.0</v>
      </c>
      <c r="C68" s="23" t="s">
        <v>676</v>
      </c>
      <c r="D68" s="23">
        <v>0.0</v>
      </c>
      <c r="E68" s="16">
        <v>67.0</v>
      </c>
      <c r="F68" s="16">
        <v>67.0</v>
      </c>
      <c r="L68" s="63"/>
      <c r="T68" s="63"/>
      <c r="AB68" s="63"/>
      <c r="AJ68" s="77"/>
    </row>
    <row r="69">
      <c r="B69" s="60">
        <v>30.0</v>
      </c>
      <c r="C69" s="23" t="s">
        <v>677</v>
      </c>
      <c r="D69" s="23">
        <v>0.0</v>
      </c>
      <c r="E69" s="16">
        <v>68.0</v>
      </c>
      <c r="F69" s="16">
        <v>68.0</v>
      </c>
      <c r="L69" s="63"/>
      <c r="T69" s="63"/>
      <c r="AB69" s="63"/>
      <c r="AJ69" s="77"/>
    </row>
    <row r="70">
      <c r="B70" s="60">
        <v>31.0</v>
      </c>
      <c r="C70" s="23" t="s">
        <v>678</v>
      </c>
      <c r="D70" s="23">
        <v>0.0</v>
      </c>
      <c r="E70" s="16">
        <v>69.0</v>
      </c>
      <c r="F70" s="16">
        <v>69.0</v>
      </c>
      <c r="L70" s="63"/>
      <c r="T70" s="63"/>
      <c r="AB70" s="63"/>
      <c r="AJ70" s="77"/>
    </row>
    <row r="71">
      <c r="B71" s="60">
        <v>32.0</v>
      </c>
      <c r="C71" s="23" t="s">
        <v>679</v>
      </c>
      <c r="D71" s="23">
        <v>0.0</v>
      </c>
      <c r="E71" s="16">
        <v>70.0</v>
      </c>
      <c r="F71" s="16">
        <v>70.0</v>
      </c>
      <c r="L71" s="63"/>
      <c r="T71" s="63"/>
      <c r="AB71" s="63"/>
      <c r="AJ71" s="77"/>
    </row>
    <row r="72">
      <c r="B72" s="60">
        <v>33.0</v>
      </c>
      <c r="C72" s="23" t="s">
        <v>680</v>
      </c>
      <c r="D72" s="23">
        <v>0.0</v>
      </c>
      <c r="E72" s="16">
        <v>71.0</v>
      </c>
      <c r="F72" s="16">
        <v>71.0</v>
      </c>
      <c r="L72" s="63"/>
      <c r="T72" s="63"/>
      <c r="AB72" s="63"/>
      <c r="AJ72" s="77"/>
    </row>
    <row r="73">
      <c r="B73" s="78">
        <v>34.0</v>
      </c>
      <c r="C73" s="71" t="s">
        <v>304</v>
      </c>
      <c r="D73" s="71">
        <v>0.0</v>
      </c>
      <c r="E73" s="72">
        <v>72.0</v>
      </c>
      <c r="F73" s="72">
        <v>73.0</v>
      </c>
      <c r="G73" s="79"/>
      <c r="H73" s="79"/>
      <c r="I73" s="79"/>
      <c r="J73" s="79"/>
      <c r="K73" s="79"/>
      <c r="L73" s="80"/>
      <c r="M73" s="79"/>
      <c r="N73" s="79"/>
      <c r="O73" s="79"/>
      <c r="P73" s="79"/>
      <c r="Q73" s="79"/>
      <c r="R73" s="79"/>
      <c r="S73" s="79"/>
      <c r="T73" s="80"/>
      <c r="U73" s="79"/>
      <c r="V73" s="79"/>
      <c r="W73" s="79"/>
      <c r="X73" s="79"/>
      <c r="Y73" s="79"/>
      <c r="Z73" s="79"/>
      <c r="AA73" s="79"/>
      <c r="AB73" s="80"/>
      <c r="AC73" s="79"/>
      <c r="AD73" s="79"/>
      <c r="AE73" s="79"/>
      <c r="AF73" s="79"/>
      <c r="AG73" s="79"/>
      <c r="AH73" s="79"/>
      <c r="AI73" s="79"/>
      <c r="AJ73" s="81"/>
    </row>
    <row r="74">
      <c r="B74" s="60">
        <v>35.0</v>
      </c>
      <c r="C74" s="23" t="s">
        <v>681</v>
      </c>
      <c r="D74" s="23">
        <v>0.0</v>
      </c>
      <c r="L74" s="23"/>
      <c r="T74" s="23"/>
      <c r="AB74" s="63"/>
      <c r="AJ74" s="77"/>
    </row>
    <row r="75">
      <c r="B75" s="60">
        <v>36.0</v>
      </c>
      <c r="C75" s="23" t="s">
        <v>682</v>
      </c>
      <c r="D75" s="23">
        <v>0.0</v>
      </c>
      <c r="L75" s="23"/>
      <c r="T75" s="23"/>
      <c r="AB75" s="63"/>
      <c r="AJ75" s="77"/>
    </row>
    <row r="76">
      <c r="B76" s="60">
        <v>37.0</v>
      </c>
      <c r="C76" s="23" t="s">
        <v>683</v>
      </c>
      <c r="D76" s="23">
        <v>0.0</v>
      </c>
      <c r="L76" s="23"/>
      <c r="T76" s="23"/>
      <c r="AB76" s="63"/>
      <c r="AJ76" s="77"/>
    </row>
    <row r="77">
      <c r="B77" s="60">
        <v>38.0</v>
      </c>
      <c r="C77" s="23" t="s">
        <v>684</v>
      </c>
      <c r="D77" s="23">
        <v>0.0</v>
      </c>
      <c r="L77" s="23"/>
      <c r="T77" s="23"/>
      <c r="AB77" s="63"/>
      <c r="AJ77" s="77"/>
    </row>
    <row r="78">
      <c r="B78" s="60">
        <v>39.0</v>
      </c>
      <c r="C78" s="23" t="s">
        <v>685</v>
      </c>
      <c r="D78" s="23">
        <v>0.0</v>
      </c>
      <c r="L78" s="23"/>
      <c r="T78" s="23"/>
      <c r="AB78" s="63"/>
      <c r="AJ78" s="77"/>
    </row>
    <row r="79">
      <c r="B79" s="60">
        <v>40.0</v>
      </c>
      <c r="C79" s="23" t="s">
        <v>686</v>
      </c>
      <c r="D79" s="23">
        <v>0.0</v>
      </c>
      <c r="L79" s="63"/>
      <c r="T79" s="63"/>
      <c r="AB79" s="63"/>
      <c r="AJ79" s="77"/>
    </row>
    <row r="80">
      <c r="B80" s="60">
        <v>41.0</v>
      </c>
      <c r="C80" s="23" t="s">
        <v>219</v>
      </c>
      <c r="D80" s="23">
        <v>0.0</v>
      </c>
      <c r="L80" s="63"/>
      <c r="T80" s="63"/>
      <c r="AB80" s="63"/>
      <c r="AJ80" s="77"/>
    </row>
    <row r="81">
      <c r="B81" s="60">
        <v>42.0</v>
      </c>
      <c r="C81" s="23" t="s">
        <v>522</v>
      </c>
      <c r="D81" s="23">
        <v>0.0</v>
      </c>
      <c r="L81" s="63"/>
      <c r="T81" s="63"/>
      <c r="AB81" s="63"/>
      <c r="AJ81" s="77"/>
    </row>
    <row r="82">
      <c r="B82" s="60">
        <v>43.0</v>
      </c>
      <c r="C82" s="23" t="s">
        <v>687</v>
      </c>
      <c r="D82" s="23">
        <v>0.0</v>
      </c>
      <c r="L82" s="63"/>
      <c r="T82" s="63"/>
      <c r="AB82" s="63"/>
      <c r="AJ82" s="77"/>
    </row>
    <row r="83">
      <c r="B83" s="60">
        <v>44.0</v>
      </c>
      <c r="C83" s="23" t="s">
        <v>688</v>
      </c>
      <c r="D83" s="23">
        <v>0.0</v>
      </c>
      <c r="L83" s="23"/>
      <c r="T83" s="23"/>
      <c r="AB83" s="63"/>
      <c r="AJ83" s="77"/>
    </row>
    <row r="84">
      <c r="B84" s="60">
        <v>45.0</v>
      </c>
      <c r="C84" s="23" t="s">
        <v>238</v>
      </c>
      <c r="D84" s="23">
        <v>0.0</v>
      </c>
      <c r="L84" s="23"/>
      <c r="T84" s="23"/>
      <c r="AB84" s="63"/>
      <c r="AJ84" s="77"/>
    </row>
    <row r="85">
      <c r="B85" s="60">
        <v>46.0</v>
      </c>
      <c r="C85" s="23" t="s">
        <v>581</v>
      </c>
      <c r="D85" s="23">
        <v>0.0</v>
      </c>
      <c r="L85" s="63"/>
      <c r="T85" s="63"/>
      <c r="AB85" s="63"/>
      <c r="AJ85" s="77"/>
    </row>
    <row r="86">
      <c r="B86" s="60">
        <v>47.0</v>
      </c>
      <c r="C86" s="23" t="s">
        <v>581</v>
      </c>
      <c r="D86" s="23">
        <v>0.0</v>
      </c>
      <c r="L86" s="63"/>
      <c r="T86" s="63"/>
      <c r="AB86" s="63"/>
      <c r="AJ86" s="77"/>
    </row>
    <row r="87">
      <c r="B87" s="60">
        <v>48.0</v>
      </c>
      <c r="C87" s="23" t="s">
        <v>581</v>
      </c>
      <c r="D87" s="23">
        <v>0.0</v>
      </c>
      <c r="L87" s="63"/>
      <c r="T87" s="63"/>
      <c r="AB87" s="63"/>
      <c r="AJ87" s="77"/>
    </row>
    <row r="88">
      <c r="A88" s="29"/>
      <c r="B88" s="60">
        <v>49.0</v>
      </c>
      <c r="C88" s="85" t="s">
        <v>581</v>
      </c>
      <c r="D88" s="86">
        <v>0.0</v>
      </c>
      <c r="E88" s="87"/>
      <c r="F88" s="87"/>
      <c r="G88" s="29"/>
      <c r="H88" s="29"/>
      <c r="I88" s="29"/>
      <c r="J88" s="29"/>
      <c r="K88" s="29"/>
      <c r="L88" s="30"/>
      <c r="M88" s="87"/>
      <c r="N88" s="87"/>
      <c r="O88" s="29"/>
      <c r="P88" s="29"/>
      <c r="Q88" s="29"/>
      <c r="R88" s="29"/>
      <c r="S88" s="29"/>
      <c r="T88" s="30"/>
      <c r="U88" s="29"/>
      <c r="V88" s="29"/>
      <c r="W88" s="29"/>
      <c r="X88" s="29"/>
      <c r="Y88" s="29"/>
      <c r="Z88" s="29"/>
      <c r="AA88" s="29"/>
      <c r="AB88" s="30"/>
      <c r="AC88" s="29"/>
      <c r="AD88" s="29"/>
      <c r="AE88" s="29"/>
      <c r="AF88" s="29"/>
      <c r="AG88" s="29"/>
      <c r="AH88" s="29"/>
      <c r="AI88" s="29"/>
      <c r="AJ88" s="88"/>
      <c r="AK88" s="29"/>
    </row>
    <row r="89">
      <c r="B89" s="60">
        <v>50.0</v>
      </c>
      <c r="C89" s="23" t="s">
        <v>581</v>
      </c>
      <c r="D89" s="23">
        <v>0.0</v>
      </c>
      <c r="L89" s="63"/>
      <c r="T89" s="63"/>
      <c r="AB89" s="63"/>
      <c r="AJ89" s="77"/>
    </row>
    <row r="90">
      <c r="A90" s="29"/>
      <c r="B90" s="60">
        <v>51.0</v>
      </c>
      <c r="C90" s="85" t="s">
        <v>581</v>
      </c>
      <c r="D90" s="86">
        <v>0.0</v>
      </c>
      <c r="E90" s="87"/>
      <c r="F90" s="87"/>
      <c r="G90" s="29"/>
      <c r="H90" s="29"/>
      <c r="I90" s="29"/>
      <c r="J90" s="29"/>
      <c r="K90" s="29"/>
      <c r="L90" s="30"/>
      <c r="M90" s="87"/>
      <c r="N90" s="87"/>
      <c r="O90" s="29"/>
      <c r="P90" s="29"/>
      <c r="Q90" s="29"/>
      <c r="R90" s="29"/>
      <c r="S90" s="29"/>
      <c r="T90" s="30"/>
      <c r="U90" s="29"/>
      <c r="V90" s="29"/>
      <c r="W90" s="29"/>
      <c r="X90" s="29"/>
      <c r="Y90" s="29"/>
      <c r="Z90" s="29"/>
      <c r="AA90" s="29"/>
      <c r="AB90" s="30"/>
      <c r="AC90" s="29"/>
      <c r="AD90" s="29"/>
      <c r="AE90" s="29"/>
      <c r="AF90" s="29"/>
      <c r="AG90" s="29"/>
      <c r="AH90" s="29"/>
      <c r="AI90" s="29"/>
      <c r="AJ90" s="88"/>
      <c r="AK90" s="29"/>
    </row>
    <row r="91">
      <c r="A91" s="29"/>
      <c r="B91" s="60">
        <v>52.0</v>
      </c>
      <c r="C91" s="30" t="s">
        <v>581</v>
      </c>
      <c r="D91" s="89">
        <v>0.0</v>
      </c>
      <c r="E91" s="90"/>
      <c r="F91" s="90"/>
      <c r="G91" s="29"/>
      <c r="H91" s="29"/>
      <c r="I91" s="29"/>
      <c r="J91" s="29"/>
      <c r="K91" s="29"/>
      <c r="L91" s="30"/>
      <c r="M91" s="90"/>
      <c r="N91" s="90"/>
      <c r="O91" s="29"/>
      <c r="P91" s="29"/>
      <c r="Q91" s="29"/>
      <c r="R91" s="29"/>
      <c r="S91" s="29"/>
      <c r="T91" s="30"/>
      <c r="U91" s="29"/>
      <c r="V91" s="29"/>
      <c r="W91" s="29"/>
      <c r="X91" s="29"/>
      <c r="Y91" s="29"/>
      <c r="Z91" s="29"/>
      <c r="AA91" s="29"/>
      <c r="AB91" s="30"/>
      <c r="AC91" s="29"/>
      <c r="AD91" s="29"/>
      <c r="AE91" s="29"/>
      <c r="AF91" s="29"/>
      <c r="AG91" s="29"/>
      <c r="AH91" s="29"/>
      <c r="AI91" s="29"/>
      <c r="AJ91" s="88"/>
      <c r="AK91" s="29"/>
    </row>
    <row r="92">
      <c r="A92" s="29"/>
      <c r="B92" s="60">
        <v>53.0</v>
      </c>
      <c r="C92" s="30" t="s">
        <v>581</v>
      </c>
      <c r="D92" s="89">
        <v>0.0</v>
      </c>
      <c r="E92" s="90"/>
      <c r="F92" s="90"/>
      <c r="G92" s="29"/>
      <c r="H92" s="29"/>
      <c r="I92" s="29"/>
      <c r="J92" s="29"/>
      <c r="K92" s="29"/>
      <c r="L92" s="30"/>
      <c r="M92" s="90"/>
      <c r="N92" s="90"/>
      <c r="O92" s="29"/>
      <c r="P92" s="29"/>
      <c r="Q92" s="29"/>
      <c r="R92" s="29"/>
      <c r="S92" s="29"/>
      <c r="T92" s="30"/>
      <c r="U92" s="29"/>
      <c r="V92" s="29"/>
      <c r="W92" s="29"/>
      <c r="X92" s="29"/>
      <c r="Y92" s="29"/>
      <c r="Z92" s="29"/>
      <c r="AA92" s="29"/>
      <c r="AB92" s="30"/>
      <c r="AC92" s="29"/>
      <c r="AD92" s="29"/>
      <c r="AE92" s="29"/>
      <c r="AF92" s="29"/>
      <c r="AG92" s="29"/>
      <c r="AH92" s="29"/>
      <c r="AI92" s="29"/>
      <c r="AJ92" s="88"/>
      <c r="AK92" s="29"/>
    </row>
    <row r="93">
      <c r="A93" s="29"/>
      <c r="B93" s="78">
        <v>54.0</v>
      </c>
      <c r="C93" s="91" t="s">
        <v>581</v>
      </c>
      <c r="D93" s="92">
        <v>0.0</v>
      </c>
      <c r="E93" s="93"/>
      <c r="F93" s="93"/>
      <c r="G93" s="94"/>
      <c r="H93" s="94"/>
      <c r="I93" s="94"/>
      <c r="J93" s="94"/>
      <c r="K93" s="94"/>
      <c r="L93" s="91"/>
      <c r="M93" s="93"/>
      <c r="N93" s="93"/>
      <c r="O93" s="94"/>
      <c r="P93" s="94"/>
      <c r="Q93" s="94"/>
      <c r="R93" s="94"/>
      <c r="S93" s="94"/>
      <c r="T93" s="91"/>
      <c r="U93" s="94"/>
      <c r="V93" s="94"/>
      <c r="W93" s="94"/>
      <c r="X93" s="94"/>
      <c r="Y93" s="94"/>
      <c r="Z93" s="94"/>
      <c r="AA93" s="94"/>
      <c r="AB93" s="91"/>
      <c r="AC93" s="94"/>
      <c r="AD93" s="94"/>
      <c r="AE93" s="94"/>
      <c r="AF93" s="94"/>
      <c r="AG93" s="94"/>
      <c r="AH93" s="94"/>
      <c r="AI93" s="94"/>
      <c r="AJ93" s="95"/>
      <c r="AK93" s="29"/>
    </row>
  </sheetData>
  <mergeCells count="11">
    <mergeCell ref="E37:L37"/>
    <mergeCell ref="M37:T37"/>
    <mergeCell ref="AC37:AJ37"/>
    <mergeCell ref="B4:B6"/>
    <mergeCell ref="C4:M34"/>
    <mergeCell ref="P4:Q6"/>
    <mergeCell ref="R4:AB34"/>
    <mergeCell ref="B37:B38"/>
    <mergeCell ref="C37:C38"/>
    <mergeCell ref="D37:D38"/>
    <mergeCell ref="U37:AB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75"/>
    <col customWidth="1" min="3" max="3" width="18.63"/>
    <col customWidth="1" min="4" max="4" width="13.38"/>
    <col customWidth="1" min="5" max="5" width="20.13"/>
    <col customWidth="1" min="6" max="6" width="13.0"/>
    <col customWidth="1" min="7" max="7" width="17.5"/>
    <col customWidth="1" min="8" max="8" width="13.0"/>
    <col customWidth="1" min="9" max="9" width="17.13"/>
    <col customWidth="1" min="10" max="10" width="13.38"/>
  </cols>
  <sheetData>
    <row r="1">
      <c r="G1" s="29"/>
      <c r="H1" s="29"/>
    </row>
    <row r="2">
      <c r="B2" s="96" t="s">
        <v>689</v>
      </c>
      <c r="C2" s="39"/>
      <c r="D2" s="39"/>
      <c r="E2" s="39"/>
      <c r="F2" s="39"/>
      <c r="G2" s="39"/>
      <c r="H2" s="39"/>
      <c r="I2" s="39"/>
      <c r="J2" s="40"/>
    </row>
    <row r="3">
      <c r="B3" s="46"/>
      <c r="C3" s="48"/>
      <c r="D3" s="48"/>
      <c r="E3" s="48"/>
      <c r="F3" s="48"/>
      <c r="G3" s="48"/>
      <c r="H3" s="48"/>
      <c r="I3" s="48"/>
      <c r="J3" s="47"/>
    </row>
    <row r="4">
      <c r="B4" s="49" t="s">
        <v>690</v>
      </c>
      <c r="C4" s="82" t="s">
        <v>691</v>
      </c>
      <c r="D4" s="82" t="s">
        <v>0</v>
      </c>
      <c r="E4" s="97" t="s">
        <v>692</v>
      </c>
      <c r="F4" s="97" t="s">
        <v>693</v>
      </c>
      <c r="G4" s="97" t="s">
        <v>694</v>
      </c>
      <c r="H4" s="97" t="s">
        <v>695</v>
      </c>
      <c r="I4" s="97" t="s">
        <v>696</v>
      </c>
      <c r="J4" s="98" t="s">
        <v>697</v>
      </c>
    </row>
    <row r="5">
      <c r="B5" s="46"/>
      <c r="C5" s="83"/>
      <c r="D5" s="83"/>
      <c r="E5" s="83"/>
      <c r="F5" s="83"/>
      <c r="G5" s="83"/>
      <c r="H5" s="83"/>
      <c r="I5" s="83"/>
      <c r="J5" s="99"/>
    </row>
    <row r="6">
      <c r="B6" s="60">
        <v>0.0</v>
      </c>
      <c r="C6" s="23"/>
      <c r="D6" s="23"/>
      <c r="E6" s="85"/>
      <c r="F6" s="30"/>
      <c r="G6" s="30"/>
      <c r="H6" s="30"/>
      <c r="I6" s="30"/>
      <c r="J6" s="100"/>
    </row>
    <row r="7">
      <c r="B7" s="60">
        <v>1.0</v>
      </c>
      <c r="C7" s="23"/>
      <c r="D7" s="23"/>
      <c r="E7" s="85"/>
      <c r="F7" s="30"/>
      <c r="G7" s="30"/>
      <c r="H7" s="30"/>
      <c r="I7" s="30"/>
      <c r="J7" s="100"/>
    </row>
    <row r="8">
      <c r="B8" s="60">
        <v>2.0</v>
      </c>
      <c r="C8" s="23"/>
      <c r="D8" s="23"/>
      <c r="E8" s="85"/>
      <c r="F8" s="30"/>
      <c r="G8" s="30"/>
      <c r="H8" s="30"/>
      <c r="I8" s="30"/>
      <c r="J8" s="100"/>
    </row>
    <row r="9">
      <c r="B9" s="60">
        <v>3.0</v>
      </c>
      <c r="C9" s="23"/>
      <c r="D9" s="23"/>
      <c r="E9" s="85"/>
      <c r="F9" s="30"/>
      <c r="G9" s="30"/>
      <c r="H9" s="30"/>
      <c r="I9" s="30"/>
      <c r="J9" s="100"/>
    </row>
    <row r="10">
      <c r="B10" s="60">
        <v>4.0</v>
      </c>
      <c r="C10" s="23"/>
      <c r="D10" s="23"/>
      <c r="E10" s="85"/>
      <c r="F10" s="30"/>
      <c r="G10" s="30"/>
      <c r="H10" s="30"/>
      <c r="I10" s="30"/>
      <c r="J10" s="100"/>
    </row>
    <row r="11">
      <c r="B11" s="60">
        <v>5.0</v>
      </c>
      <c r="C11" s="23"/>
      <c r="D11" s="23"/>
      <c r="E11" s="85"/>
      <c r="F11" s="30"/>
      <c r="G11" s="30"/>
      <c r="H11" s="30"/>
      <c r="I11" s="30"/>
      <c r="J11" s="100"/>
    </row>
    <row r="12">
      <c r="B12" s="60">
        <v>6.0</v>
      </c>
      <c r="C12" s="23"/>
      <c r="D12" s="23"/>
      <c r="E12" s="85"/>
      <c r="F12" s="30"/>
      <c r="G12" s="30"/>
      <c r="H12" s="30"/>
      <c r="I12" s="30"/>
      <c r="J12" s="100"/>
    </row>
    <row r="13">
      <c r="B13" s="60">
        <v>7.0</v>
      </c>
      <c r="C13" s="23"/>
      <c r="D13" s="23"/>
      <c r="E13" s="85"/>
      <c r="F13" s="30"/>
      <c r="G13" s="30"/>
      <c r="H13" s="30"/>
      <c r="I13" s="30"/>
      <c r="J13" s="100"/>
    </row>
    <row r="14">
      <c r="B14" s="60">
        <v>8.0</v>
      </c>
      <c r="C14" s="23"/>
      <c r="D14" s="23"/>
      <c r="E14" s="85"/>
      <c r="F14" s="30"/>
      <c r="G14" s="30"/>
      <c r="H14" s="30"/>
      <c r="I14" s="30"/>
      <c r="J14" s="100"/>
    </row>
    <row r="15">
      <c r="B15" s="60">
        <v>9.0</v>
      </c>
      <c r="C15" s="23"/>
      <c r="D15" s="23"/>
      <c r="E15" s="85"/>
      <c r="F15" s="30"/>
      <c r="G15" s="30"/>
      <c r="H15" s="30"/>
      <c r="I15" s="30"/>
      <c r="J15" s="100"/>
    </row>
    <row r="16">
      <c r="B16" s="60">
        <v>10.0</v>
      </c>
      <c r="C16" s="23"/>
      <c r="D16" s="23"/>
      <c r="E16" s="85"/>
      <c r="F16" s="30"/>
      <c r="G16" s="30"/>
      <c r="H16" s="30"/>
      <c r="I16" s="30"/>
      <c r="J16" s="100"/>
    </row>
    <row r="17">
      <c r="B17" s="60">
        <v>11.0</v>
      </c>
      <c r="C17" s="23"/>
      <c r="D17" s="23"/>
      <c r="E17" s="85"/>
      <c r="F17" s="30"/>
      <c r="G17" s="30"/>
      <c r="H17" s="30"/>
      <c r="I17" s="30"/>
      <c r="J17" s="100"/>
    </row>
    <row r="18">
      <c r="B18" s="60">
        <v>12.0</v>
      </c>
      <c r="C18" s="23"/>
      <c r="D18" s="23"/>
      <c r="E18" s="85"/>
      <c r="F18" s="30"/>
      <c r="G18" s="30"/>
      <c r="H18" s="30"/>
      <c r="I18" s="30"/>
      <c r="J18" s="100"/>
    </row>
    <row r="19">
      <c r="B19" s="60">
        <v>13.0</v>
      </c>
      <c r="C19" s="23"/>
      <c r="D19" s="23"/>
      <c r="E19" s="85"/>
      <c r="F19" s="30"/>
      <c r="G19" s="30"/>
      <c r="H19" s="30"/>
      <c r="I19" s="30"/>
      <c r="J19" s="100"/>
    </row>
    <row r="20">
      <c r="B20" s="60">
        <v>14.0</v>
      </c>
      <c r="C20" s="23"/>
      <c r="D20" s="23"/>
      <c r="E20" s="85"/>
      <c r="F20" s="30"/>
      <c r="G20" s="30"/>
      <c r="H20" s="30"/>
      <c r="I20" s="30"/>
      <c r="J20" s="100"/>
    </row>
    <row r="21">
      <c r="B21" s="60">
        <v>15.0</v>
      </c>
      <c r="C21" s="23"/>
      <c r="D21" s="23"/>
      <c r="E21" s="85"/>
      <c r="F21" s="30"/>
      <c r="G21" s="30"/>
      <c r="H21" s="30"/>
      <c r="I21" s="30"/>
      <c r="J21" s="100"/>
    </row>
    <row r="22">
      <c r="B22" s="60">
        <v>16.0</v>
      </c>
      <c r="C22" s="23"/>
      <c r="D22" s="23"/>
      <c r="E22" s="85"/>
      <c r="F22" s="30"/>
      <c r="G22" s="30"/>
      <c r="H22" s="30"/>
      <c r="I22" s="30"/>
      <c r="J22" s="100"/>
    </row>
    <row r="23">
      <c r="B23" s="60">
        <v>17.0</v>
      </c>
      <c r="C23" s="23"/>
      <c r="D23" s="23"/>
      <c r="E23" s="85"/>
      <c r="F23" s="30"/>
      <c r="G23" s="30"/>
      <c r="H23" s="30"/>
      <c r="I23" s="30"/>
      <c r="J23" s="100"/>
    </row>
    <row r="24">
      <c r="B24" s="60">
        <v>18.0</v>
      </c>
      <c r="C24" s="23"/>
      <c r="D24" s="23"/>
      <c r="E24" s="85"/>
      <c r="F24" s="30"/>
      <c r="G24" s="30"/>
      <c r="H24" s="30"/>
      <c r="I24" s="30"/>
      <c r="J24" s="100"/>
    </row>
    <row r="25">
      <c r="B25" s="60">
        <v>19.0</v>
      </c>
      <c r="C25" s="23"/>
      <c r="D25" s="23"/>
      <c r="E25" s="85"/>
      <c r="F25" s="30"/>
      <c r="G25" s="30"/>
      <c r="H25" s="30"/>
      <c r="I25" s="30"/>
      <c r="J25" s="100"/>
    </row>
    <row r="26">
      <c r="B26" s="60">
        <v>20.0</v>
      </c>
      <c r="C26" s="23"/>
      <c r="D26" s="23"/>
      <c r="E26" s="85"/>
      <c r="F26" s="30"/>
      <c r="G26" s="30"/>
      <c r="H26" s="30"/>
      <c r="I26" s="30"/>
      <c r="J26" s="100"/>
    </row>
    <row r="27">
      <c r="B27" s="60">
        <v>21.0</v>
      </c>
      <c r="C27" s="23"/>
      <c r="D27" s="23"/>
      <c r="E27" s="85"/>
      <c r="F27" s="30"/>
      <c r="G27" s="30"/>
      <c r="H27" s="30"/>
      <c r="I27" s="30"/>
      <c r="J27" s="100"/>
    </row>
    <row r="28">
      <c r="B28" s="60">
        <v>22.0</v>
      </c>
      <c r="C28" s="23"/>
      <c r="D28" s="23"/>
      <c r="E28" s="85"/>
      <c r="F28" s="30"/>
      <c r="G28" s="30"/>
      <c r="H28" s="30"/>
      <c r="I28" s="30"/>
      <c r="J28" s="100"/>
    </row>
    <row r="29">
      <c r="B29" s="60">
        <v>23.0</v>
      </c>
      <c r="C29" s="23"/>
      <c r="D29" s="23"/>
      <c r="E29" s="85"/>
      <c r="F29" s="30"/>
      <c r="G29" s="30"/>
      <c r="H29" s="30"/>
      <c r="I29" s="30"/>
      <c r="J29" s="100"/>
    </row>
    <row r="30">
      <c r="B30" s="60">
        <v>24.0</v>
      </c>
      <c r="C30" s="23"/>
      <c r="D30" s="23"/>
      <c r="E30" s="85"/>
      <c r="F30" s="30"/>
      <c r="G30" s="30"/>
      <c r="H30" s="30"/>
      <c r="I30" s="30"/>
      <c r="J30" s="100"/>
    </row>
    <row r="31">
      <c r="B31" s="60">
        <v>25.0</v>
      </c>
      <c r="C31" s="23"/>
      <c r="D31" s="23"/>
      <c r="E31" s="85"/>
      <c r="F31" s="30"/>
      <c r="G31" s="30"/>
      <c r="H31" s="30"/>
      <c r="I31" s="30"/>
      <c r="J31" s="100"/>
    </row>
    <row r="32">
      <c r="B32" s="60">
        <v>26.0</v>
      </c>
      <c r="C32" s="23"/>
      <c r="D32" s="23"/>
      <c r="E32" s="85"/>
      <c r="F32" s="30"/>
      <c r="G32" s="30"/>
      <c r="H32" s="30"/>
      <c r="I32" s="30"/>
      <c r="J32" s="100"/>
    </row>
    <row r="33">
      <c r="B33" s="60">
        <v>27.0</v>
      </c>
      <c r="C33" s="23"/>
      <c r="D33" s="23"/>
      <c r="E33" s="85"/>
      <c r="F33" s="30"/>
      <c r="G33" s="30"/>
      <c r="H33" s="30"/>
      <c r="I33" s="30"/>
      <c r="J33" s="100"/>
    </row>
    <row r="34">
      <c r="B34" s="60">
        <v>28.0</v>
      </c>
      <c r="C34" s="23"/>
      <c r="D34" s="23"/>
      <c r="E34" s="85"/>
      <c r="F34" s="30"/>
      <c r="G34" s="30"/>
      <c r="H34" s="30"/>
      <c r="I34" s="30"/>
      <c r="J34" s="100"/>
    </row>
    <row r="35">
      <c r="B35" s="60">
        <v>29.0</v>
      </c>
      <c r="C35" s="23"/>
      <c r="D35" s="23"/>
      <c r="E35" s="85"/>
      <c r="F35" s="30"/>
      <c r="G35" s="30"/>
      <c r="H35" s="30"/>
      <c r="I35" s="30"/>
      <c r="J35" s="100"/>
    </row>
    <row r="36">
      <c r="B36" s="60">
        <v>30.0</v>
      </c>
      <c r="C36" s="23"/>
      <c r="D36" s="23"/>
      <c r="E36" s="85"/>
      <c r="F36" s="30"/>
      <c r="G36" s="30"/>
      <c r="H36" s="30"/>
      <c r="I36" s="30"/>
      <c r="J36" s="100"/>
    </row>
    <row r="37">
      <c r="B37" s="60">
        <v>31.0</v>
      </c>
      <c r="C37" s="23"/>
      <c r="D37" s="23"/>
      <c r="E37" s="85"/>
      <c r="F37" s="30"/>
      <c r="G37" s="30"/>
      <c r="H37" s="30"/>
      <c r="I37" s="30"/>
      <c r="J37" s="100"/>
    </row>
    <row r="38">
      <c r="B38" s="60">
        <v>32.0</v>
      </c>
      <c r="C38" s="23"/>
      <c r="D38" s="23"/>
      <c r="E38" s="85"/>
      <c r="F38" s="30"/>
      <c r="G38" s="30"/>
      <c r="H38" s="30"/>
      <c r="I38" s="30"/>
      <c r="J38" s="100"/>
    </row>
    <row r="39">
      <c r="B39" s="60">
        <v>33.0</v>
      </c>
      <c r="C39" s="23"/>
      <c r="D39" s="23"/>
      <c r="E39" s="85"/>
      <c r="F39" s="30"/>
      <c r="G39" s="30"/>
      <c r="H39" s="30"/>
      <c r="I39" s="30"/>
      <c r="J39" s="100"/>
    </row>
    <row r="40">
      <c r="A40" s="54"/>
      <c r="B40" s="60">
        <v>34.0</v>
      </c>
      <c r="C40" s="23"/>
      <c r="D40" s="23"/>
      <c r="E40" s="85"/>
      <c r="F40" s="85"/>
      <c r="G40" s="85"/>
      <c r="H40" s="85"/>
      <c r="I40" s="85"/>
      <c r="J40" s="101"/>
      <c r="K40" s="59"/>
    </row>
    <row r="41">
      <c r="B41" s="60">
        <v>35.0</v>
      </c>
      <c r="C41" s="23"/>
      <c r="D41" s="23"/>
      <c r="E41" s="85"/>
      <c r="F41" s="30"/>
      <c r="G41" s="30"/>
      <c r="H41" s="30"/>
      <c r="I41" s="30"/>
      <c r="J41" s="100"/>
    </row>
    <row r="42">
      <c r="B42" s="60">
        <v>36.0</v>
      </c>
      <c r="C42" s="23"/>
      <c r="D42" s="23"/>
      <c r="E42" s="85"/>
      <c r="F42" s="30"/>
      <c r="G42" s="30"/>
      <c r="H42" s="30"/>
      <c r="I42" s="30"/>
      <c r="J42" s="100"/>
    </row>
    <row r="43">
      <c r="B43" s="60">
        <v>37.0</v>
      </c>
      <c r="C43" s="23"/>
      <c r="D43" s="23"/>
      <c r="E43" s="85"/>
      <c r="F43" s="30"/>
      <c r="G43" s="30"/>
      <c r="H43" s="30"/>
      <c r="I43" s="30"/>
      <c r="J43" s="100"/>
    </row>
    <row r="44">
      <c r="B44" s="60">
        <v>38.0</v>
      </c>
      <c r="C44" s="23"/>
      <c r="D44" s="23"/>
      <c r="E44" s="85"/>
      <c r="F44" s="30"/>
      <c r="G44" s="30"/>
      <c r="H44" s="30"/>
      <c r="I44" s="30"/>
      <c r="J44" s="100"/>
    </row>
    <row r="45">
      <c r="B45" s="60">
        <v>39.0</v>
      </c>
      <c r="C45" s="23"/>
      <c r="D45" s="23"/>
      <c r="E45" s="85"/>
      <c r="F45" s="30"/>
      <c r="G45" s="30"/>
      <c r="H45" s="30"/>
      <c r="I45" s="30"/>
      <c r="J45" s="100"/>
    </row>
    <row r="46">
      <c r="B46" s="60">
        <v>40.0</v>
      </c>
      <c r="C46" s="23"/>
      <c r="D46" s="23"/>
      <c r="E46" s="85"/>
      <c r="F46" s="30"/>
      <c r="G46" s="30"/>
      <c r="H46" s="30"/>
      <c r="I46" s="30"/>
      <c r="J46" s="100"/>
    </row>
    <row r="47">
      <c r="B47" s="60">
        <v>41.0</v>
      </c>
      <c r="C47" s="23"/>
      <c r="D47" s="23"/>
      <c r="E47" s="85"/>
      <c r="F47" s="30"/>
      <c r="G47" s="30"/>
      <c r="H47" s="30"/>
      <c r="I47" s="30"/>
      <c r="J47" s="100"/>
    </row>
    <row r="48">
      <c r="B48" s="60">
        <v>42.0</v>
      </c>
      <c r="C48" s="23"/>
      <c r="D48" s="23"/>
      <c r="E48" s="85"/>
      <c r="F48" s="30"/>
      <c r="G48" s="30"/>
      <c r="H48" s="30"/>
      <c r="I48" s="30"/>
      <c r="J48" s="100"/>
    </row>
    <row r="49">
      <c r="B49" s="60">
        <v>43.0</v>
      </c>
      <c r="C49" s="23"/>
      <c r="D49" s="23"/>
      <c r="E49" s="85"/>
      <c r="F49" s="30"/>
      <c r="G49" s="30"/>
      <c r="H49" s="30"/>
      <c r="I49" s="30"/>
      <c r="J49" s="100"/>
    </row>
    <row r="50">
      <c r="B50" s="60">
        <v>44.0</v>
      </c>
      <c r="C50" s="23"/>
      <c r="D50" s="23"/>
      <c r="E50" s="85"/>
      <c r="F50" s="30"/>
      <c r="G50" s="30"/>
      <c r="H50" s="30"/>
      <c r="I50" s="30"/>
      <c r="J50" s="100"/>
    </row>
    <row r="51">
      <c r="B51" s="60">
        <v>45.0</v>
      </c>
      <c r="C51" s="23"/>
      <c r="D51" s="23"/>
      <c r="E51" s="85"/>
      <c r="F51" s="30"/>
      <c r="G51" s="30"/>
      <c r="H51" s="30"/>
      <c r="I51" s="30"/>
      <c r="J51" s="100"/>
    </row>
    <row r="52">
      <c r="B52" s="60">
        <v>46.0</v>
      </c>
      <c r="C52" s="23"/>
      <c r="D52" s="23"/>
      <c r="E52" s="85"/>
      <c r="F52" s="30"/>
      <c r="G52" s="30"/>
      <c r="H52" s="30"/>
      <c r="I52" s="30"/>
      <c r="J52" s="100"/>
    </row>
    <row r="53">
      <c r="B53" s="60">
        <v>47.0</v>
      </c>
      <c r="C53" s="23"/>
      <c r="D53" s="23"/>
      <c r="E53" s="85"/>
      <c r="F53" s="30"/>
      <c r="G53" s="30"/>
      <c r="H53" s="30"/>
      <c r="I53" s="30"/>
      <c r="J53" s="100"/>
    </row>
    <row r="54">
      <c r="B54" s="60">
        <v>48.0</v>
      </c>
      <c r="C54" s="23"/>
      <c r="D54" s="23"/>
      <c r="E54" s="85"/>
      <c r="F54" s="30"/>
      <c r="G54" s="30"/>
      <c r="H54" s="30"/>
      <c r="I54" s="30"/>
      <c r="J54" s="100"/>
    </row>
    <row r="55">
      <c r="B55" s="60">
        <v>49.0</v>
      </c>
      <c r="C55" s="23"/>
      <c r="D55" s="23"/>
      <c r="E55" s="85"/>
      <c r="F55" s="30"/>
      <c r="G55" s="30"/>
      <c r="H55" s="30"/>
      <c r="I55" s="30"/>
      <c r="J55" s="100"/>
    </row>
    <row r="56">
      <c r="B56" s="60">
        <v>50.0</v>
      </c>
      <c r="C56" s="23"/>
      <c r="D56" s="23"/>
      <c r="E56" s="85"/>
      <c r="F56" s="30"/>
      <c r="G56" s="30"/>
      <c r="H56" s="30"/>
      <c r="I56" s="30"/>
      <c r="J56" s="100"/>
    </row>
    <row r="57">
      <c r="B57" s="60">
        <v>51.0</v>
      </c>
      <c r="C57" s="23"/>
      <c r="D57" s="23"/>
      <c r="E57" s="85"/>
      <c r="F57" s="30"/>
      <c r="G57" s="30"/>
      <c r="H57" s="30"/>
      <c r="I57" s="30"/>
      <c r="J57" s="100"/>
    </row>
    <row r="58">
      <c r="B58" s="60">
        <v>52.0</v>
      </c>
      <c r="C58" s="23"/>
      <c r="D58" s="23"/>
      <c r="E58" s="85"/>
      <c r="F58" s="30"/>
      <c r="G58" s="30"/>
      <c r="H58" s="30"/>
      <c r="I58" s="30"/>
      <c r="J58" s="100"/>
    </row>
    <row r="59">
      <c r="B59" s="60">
        <v>53.0</v>
      </c>
      <c r="C59" s="23"/>
      <c r="D59" s="23"/>
      <c r="E59" s="85"/>
      <c r="F59" s="30"/>
      <c r="G59" s="30"/>
      <c r="H59" s="30"/>
      <c r="I59" s="30"/>
      <c r="J59" s="100"/>
    </row>
    <row r="60">
      <c r="B60" s="60">
        <v>54.0</v>
      </c>
      <c r="C60" s="23"/>
      <c r="D60" s="23"/>
      <c r="E60" s="85"/>
      <c r="F60" s="30"/>
      <c r="G60" s="30"/>
      <c r="H60" s="30"/>
      <c r="I60" s="30"/>
      <c r="J60" s="100"/>
    </row>
    <row r="61">
      <c r="B61" s="60">
        <v>55.0</v>
      </c>
      <c r="C61" s="23"/>
      <c r="D61" s="23"/>
      <c r="E61" s="85"/>
      <c r="F61" s="30"/>
      <c r="G61" s="30"/>
      <c r="H61" s="30"/>
      <c r="I61" s="30"/>
      <c r="J61" s="100"/>
    </row>
    <row r="62">
      <c r="B62" s="60">
        <v>56.0</v>
      </c>
      <c r="C62" s="23"/>
      <c r="D62" s="23"/>
      <c r="E62" s="85"/>
      <c r="F62" s="30"/>
      <c r="G62" s="30"/>
      <c r="H62" s="30"/>
      <c r="I62" s="30"/>
      <c r="J62" s="100"/>
    </row>
    <row r="63">
      <c r="B63" s="60">
        <v>57.0</v>
      </c>
      <c r="C63" s="23"/>
      <c r="D63" s="23"/>
      <c r="E63" s="85"/>
      <c r="F63" s="30"/>
      <c r="G63" s="30"/>
      <c r="H63" s="30"/>
      <c r="I63" s="30"/>
      <c r="J63" s="100"/>
    </row>
    <row r="64">
      <c r="B64" s="60">
        <v>58.0</v>
      </c>
      <c r="C64" s="23"/>
      <c r="D64" s="23"/>
      <c r="E64" s="85"/>
      <c r="F64" s="30"/>
      <c r="G64" s="30"/>
      <c r="H64" s="30"/>
      <c r="I64" s="30"/>
      <c r="J64" s="100"/>
    </row>
    <row r="65">
      <c r="B65" s="60">
        <v>59.0</v>
      </c>
      <c r="C65" s="23"/>
      <c r="D65" s="23"/>
      <c r="E65" s="85"/>
      <c r="F65" s="30"/>
      <c r="G65" s="30"/>
      <c r="H65" s="30"/>
      <c r="I65" s="30"/>
      <c r="J65" s="100"/>
    </row>
    <row r="66">
      <c r="B66" s="60">
        <v>60.0</v>
      </c>
      <c r="C66" s="23"/>
      <c r="D66" s="23"/>
      <c r="E66" s="85"/>
      <c r="F66" s="30"/>
      <c r="G66" s="30"/>
      <c r="H66" s="30"/>
      <c r="I66" s="30"/>
      <c r="J66" s="100"/>
    </row>
    <row r="67">
      <c r="B67" s="60">
        <v>61.0</v>
      </c>
      <c r="C67" s="23"/>
      <c r="D67" s="23"/>
      <c r="E67" s="85"/>
      <c r="F67" s="30"/>
      <c r="G67" s="30"/>
      <c r="H67" s="30"/>
      <c r="I67" s="30"/>
      <c r="J67" s="100"/>
    </row>
    <row r="68">
      <c r="B68" s="60">
        <v>62.0</v>
      </c>
      <c r="C68" s="23"/>
      <c r="D68" s="23"/>
      <c r="E68" s="85"/>
      <c r="F68" s="30"/>
      <c r="G68" s="30"/>
      <c r="H68" s="30"/>
      <c r="I68" s="30"/>
      <c r="J68" s="100"/>
    </row>
    <row r="69">
      <c r="B69" s="60">
        <v>63.0</v>
      </c>
      <c r="C69" s="23"/>
      <c r="D69" s="23"/>
      <c r="E69" s="85"/>
      <c r="F69" s="30"/>
      <c r="G69" s="30"/>
      <c r="H69" s="30"/>
      <c r="I69" s="30"/>
      <c r="J69" s="100"/>
    </row>
    <row r="70">
      <c r="B70" s="60">
        <v>64.0</v>
      </c>
      <c r="C70" s="23"/>
      <c r="D70" s="23"/>
      <c r="E70" s="85"/>
      <c r="F70" s="30"/>
      <c r="G70" s="30"/>
      <c r="H70" s="30"/>
      <c r="I70" s="30"/>
      <c r="J70" s="100"/>
    </row>
    <row r="71">
      <c r="B71" s="60">
        <v>65.0</v>
      </c>
      <c r="C71" s="23"/>
      <c r="D71" s="23"/>
      <c r="E71" s="85"/>
      <c r="F71" s="30"/>
      <c r="G71" s="30"/>
      <c r="H71" s="30"/>
      <c r="I71" s="30"/>
      <c r="J71" s="100"/>
    </row>
    <row r="72">
      <c r="B72" s="60">
        <v>66.0</v>
      </c>
      <c r="C72" s="23"/>
      <c r="D72" s="23"/>
      <c r="E72" s="85"/>
      <c r="F72" s="30"/>
      <c r="G72" s="30"/>
      <c r="H72" s="30"/>
      <c r="I72" s="30"/>
      <c r="J72" s="100"/>
    </row>
    <row r="73">
      <c r="B73" s="60">
        <v>67.0</v>
      </c>
      <c r="C73" s="23"/>
      <c r="D73" s="23"/>
      <c r="E73" s="85"/>
      <c r="F73" s="30"/>
      <c r="G73" s="30"/>
      <c r="H73" s="30"/>
      <c r="I73" s="30"/>
      <c r="J73" s="100"/>
    </row>
    <row r="74">
      <c r="B74" s="60">
        <v>68.0</v>
      </c>
      <c r="C74" s="23"/>
      <c r="D74" s="23"/>
      <c r="E74" s="85"/>
      <c r="F74" s="30"/>
      <c r="G74" s="30"/>
      <c r="H74" s="30"/>
      <c r="I74" s="30"/>
      <c r="J74" s="100"/>
    </row>
    <row r="75">
      <c r="B75" s="60">
        <v>69.0</v>
      </c>
      <c r="C75" s="23"/>
      <c r="D75" s="23"/>
      <c r="E75" s="85"/>
      <c r="F75" s="30"/>
      <c r="G75" s="30"/>
      <c r="H75" s="30"/>
      <c r="I75" s="30"/>
      <c r="J75" s="100"/>
    </row>
    <row r="76">
      <c r="B76" s="60">
        <v>70.0</v>
      </c>
      <c r="C76" s="23"/>
      <c r="D76" s="23"/>
      <c r="E76" s="85"/>
      <c r="F76" s="30"/>
      <c r="G76" s="30"/>
      <c r="H76" s="30"/>
      <c r="I76" s="30"/>
      <c r="J76" s="100"/>
    </row>
    <row r="77">
      <c r="B77" s="60">
        <v>71.0</v>
      </c>
      <c r="C77" s="23"/>
      <c r="D77" s="23"/>
      <c r="E77" s="85"/>
      <c r="F77" s="30"/>
      <c r="G77" s="30"/>
      <c r="H77" s="30"/>
      <c r="I77" s="30"/>
      <c r="J77" s="100"/>
    </row>
    <row r="78">
      <c r="B78" s="60">
        <v>72.0</v>
      </c>
      <c r="C78" s="23"/>
      <c r="D78" s="23"/>
      <c r="E78" s="85"/>
      <c r="F78" s="30"/>
      <c r="G78" s="30"/>
      <c r="H78" s="30"/>
      <c r="I78" s="30"/>
      <c r="J78" s="100"/>
    </row>
    <row r="79">
      <c r="B79" s="60">
        <v>73.0</v>
      </c>
      <c r="C79" s="23"/>
      <c r="D79" s="23"/>
      <c r="E79" s="85"/>
      <c r="F79" s="30"/>
      <c r="G79" s="30"/>
      <c r="H79" s="30"/>
      <c r="I79" s="30"/>
      <c r="J79" s="100"/>
    </row>
    <row r="80">
      <c r="B80" s="60">
        <v>74.0</v>
      </c>
      <c r="C80" s="23"/>
      <c r="D80" s="23"/>
      <c r="E80" s="85"/>
      <c r="F80" s="30"/>
      <c r="G80" s="30"/>
      <c r="H80" s="30"/>
      <c r="I80" s="30"/>
      <c r="J80" s="100"/>
    </row>
    <row r="81">
      <c r="B81" s="60">
        <v>75.0</v>
      </c>
      <c r="C81" s="23"/>
      <c r="D81" s="23"/>
      <c r="E81" s="85"/>
      <c r="F81" s="30"/>
      <c r="G81" s="30"/>
      <c r="H81" s="30"/>
      <c r="I81" s="30"/>
      <c r="J81" s="100"/>
    </row>
    <row r="82">
      <c r="B82" s="60">
        <v>76.0</v>
      </c>
      <c r="C82" s="23"/>
      <c r="D82" s="23"/>
      <c r="E82" s="85"/>
      <c r="F82" s="30"/>
      <c r="G82" s="30"/>
      <c r="H82" s="30"/>
      <c r="I82" s="30"/>
      <c r="J82" s="100"/>
    </row>
    <row r="83">
      <c r="B83" s="60">
        <v>77.0</v>
      </c>
      <c r="C83" s="23"/>
      <c r="D83" s="23"/>
      <c r="E83" s="85"/>
      <c r="F83" s="30"/>
      <c r="G83" s="30"/>
      <c r="H83" s="30"/>
      <c r="I83" s="30"/>
      <c r="J83" s="100"/>
    </row>
    <row r="84">
      <c r="B84" s="60">
        <v>78.0</v>
      </c>
      <c r="C84" s="23"/>
      <c r="D84" s="23"/>
      <c r="E84" s="85"/>
      <c r="F84" s="30"/>
      <c r="G84" s="30"/>
      <c r="H84" s="30"/>
      <c r="I84" s="30"/>
      <c r="J84" s="100"/>
    </row>
    <row r="85">
      <c r="B85" s="60">
        <v>79.0</v>
      </c>
      <c r="C85" s="23"/>
      <c r="D85" s="23"/>
      <c r="E85" s="85"/>
      <c r="F85" s="30"/>
      <c r="G85" s="30"/>
      <c r="H85" s="30"/>
      <c r="I85" s="30"/>
      <c r="J85" s="100"/>
    </row>
    <row r="86">
      <c r="B86" s="60">
        <v>80.0</v>
      </c>
      <c r="C86" s="23"/>
      <c r="D86" s="23"/>
      <c r="E86" s="85"/>
      <c r="F86" s="30"/>
      <c r="G86" s="30"/>
      <c r="H86" s="30"/>
      <c r="I86" s="30"/>
      <c r="J86" s="100"/>
    </row>
    <row r="87">
      <c r="B87" s="60">
        <v>81.0</v>
      </c>
      <c r="C87" s="23"/>
      <c r="D87" s="23"/>
      <c r="E87" s="85"/>
      <c r="F87" s="30"/>
      <c r="G87" s="30"/>
      <c r="H87" s="30"/>
      <c r="I87" s="30"/>
      <c r="J87" s="100"/>
    </row>
    <row r="88">
      <c r="B88" s="60">
        <v>82.0</v>
      </c>
      <c r="C88" s="23"/>
      <c r="D88" s="23"/>
      <c r="E88" s="85"/>
      <c r="F88" s="30"/>
      <c r="G88" s="30"/>
      <c r="H88" s="30"/>
      <c r="I88" s="30"/>
      <c r="J88" s="100"/>
    </row>
    <row r="89">
      <c r="B89" s="60">
        <v>83.0</v>
      </c>
      <c r="C89" s="23"/>
      <c r="D89" s="23"/>
      <c r="E89" s="85"/>
      <c r="F89" s="30"/>
      <c r="G89" s="30"/>
      <c r="H89" s="30"/>
      <c r="I89" s="30"/>
      <c r="J89" s="100"/>
    </row>
    <row r="90">
      <c r="B90" s="60">
        <v>84.0</v>
      </c>
      <c r="C90" s="23"/>
      <c r="D90" s="23"/>
      <c r="E90" s="85"/>
      <c r="F90" s="30"/>
      <c r="G90" s="30"/>
      <c r="H90" s="30"/>
      <c r="I90" s="30"/>
      <c r="J90" s="100"/>
    </row>
    <row r="91">
      <c r="B91" s="60">
        <v>85.0</v>
      </c>
      <c r="C91" s="23"/>
      <c r="D91" s="23"/>
      <c r="E91" s="85"/>
      <c r="F91" s="30"/>
      <c r="G91" s="30"/>
      <c r="H91" s="30"/>
      <c r="I91" s="30"/>
      <c r="J91" s="100"/>
    </row>
    <row r="92">
      <c r="B92" s="60">
        <v>86.0</v>
      </c>
      <c r="C92" s="85"/>
      <c r="D92" s="85"/>
      <c r="E92" s="85"/>
      <c r="F92" s="30"/>
      <c r="G92" s="30"/>
      <c r="H92" s="30"/>
      <c r="I92" s="30"/>
      <c r="J92" s="100"/>
    </row>
    <row r="93">
      <c r="B93" s="60">
        <v>87.0</v>
      </c>
      <c r="C93" s="85"/>
      <c r="D93" s="85"/>
      <c r="E93" s="85"/>
      <c r="F93" s="30"/>
      <c r="G93" s="30"/>
      <c r="H93" s="30"/>
      <c r="I93" s="30"/>
      <c r="J93" s="100"/>
    </row>
    <row r="94">
      <c r="B94" s="60">
        <v>88.0</v>
      </c>
      <c r="C94" s="85"/>
      <c r="D94" s="85"/>
      <c r="E94" s="85"/>
      <c r="F94" s="30"/>
      <c r="G94" s="30"/>
      <c r="H94" s="30"/>
      <c r="I94" s="30"/>
      <c r="J94" s="100"/>
    </row>
    <row r="95">
      <c r="B95" s="60">
        <v>89.0</v>
      </c>
      <c r="C95" s="85"/>
      <c r="D95" s="85"/>
      <c r="E95" s="85"/>
      <c r="F95" s="30"/>
      <c r="G95" s="30"/>
      <c r="H95" s="30"/>
      <c r="I95" s="30"/>
      <c r="J95" s="100"/>
    </row>
    <row r="96">
      <c r="B96" s="60">
        <v>90.0</v>
      </c>
      <c r="C96" s="85"/>
      <c r="D96" s="85"/>
      <c r="E96" s="85"/>
      <c r="F96" s="30"/>
      <c r="G96" s="30"/>
      <c r="H96" s="30"/>
      <c r="I96" s="30"/>
      <c r="J96" s="100"/>
    </row>
    <row r="97">
      <c r="B97" s="60">
        <v>91.0</v>
      </c>
      <c r="C97" s="85"/>
      <c r="D97" s="85"/>
      <c r="E97" s="85"/>
      <c r="F97" s="30"/>
      <c r="G97" s="30"/>
      <c r="H97" s="30"/>
      <c r="I97" s="30"/>
      <c r="J97" s="100"/>
    </row>
    <row r="98">
      <c r="B98" s="60">
        <v>92.0</v>
      </c>
      <c r="C98" s="85"/>
      <c r="D98" s="85"/>
      <c r="E98" s="85"/>
      <c r="F98" s="30"/>
      <c r="G98" s="30"/>
      <c r="H98" s="30"/>
      <c r="I98" s="30"/>
      <c r="J98" s="100"/>
    </row>
    <row r="99">
      <c r="B99" s="60">
        <v>93.0</v>
      </c>
      <c r="C99" s="85"/>
      <c r="D99" s="85"/>
      <c r="E99" s="85"/>
      <c r="F99" s="30"/>
      <c r="G99" s="30"/>
      <c r="H99" s="30"/>
      <c r="I99" s="30"/>
      <c r="J99" s="100"/>
    </row>
    <row r="100">
      <c r="B100" s="60">
        <v>94.0</v>
      </c>
      <c r="C100" s="85"/>
      <c r="D100" s="85"/>
      <c r="E100" s="85"/>
      <c r="F100" s="30"/>
      <c r="G100" s="30"/>
      <c r="H100" s="30"/>
      <c r="I100" s="30"/>
      <c r="J100" s="100"/>
    </row>
    <row r="101">
      <c r="B101" s="60">
        <v>95.0</v>
      </c>
      <c r="C101" s="85"/>
      <c r="D101" s="85"/>
      <c r="E101" s="85"/>
      <c r="F101" s="30"/>
      <c r="G101" s="30"/>
      <c r="H101" s="30"/>
      <c r="I101" s="30"/>
      <c r="J101" s="100"/>
    </row>
    <row r="102">
      <c r="B102" s="60">
        <v>96.0</v>
      </c>
      <c r="C102" s="85"/>
      <c r="D102" s="85"/>
      <c r="E102" s="85"/>
      <c r="F102" s="30"/>
      <c r="G102" s="30"/>
      <c r="H102" s="30"/>
      <c r="I102" s="30"/>
      <c r="J102" s="100"/>
    </row>
    <row r="103">
      <c r="B103" s="60">
        <v>97.0</v>
      </c>
      <c r="C103" s="85"/>
      <c r="D103" s="85"/>
      <c r="E103" s="85"/>
      <c r="F103" s="30"/>
      <c r="G103" s="30"/>
      <c r="H103" s="30"/>
      <c r="I103" s="30"/>
      <c r="J103" s="100"/>
    </row>
    <row r="104">
      <c r="B104" s="60">
        <v>98.0</v>
      </c>
      <c r="C104" s="85"/>
      <c r="D104" s="85"/>
      <c r="E104" s="85"/>
      <c r="F104" s="30"/>
      <c r="G104" s="30"/>
      <c r="H104" s="30"/>
      <c r="I104" s="30"/>
      <c r="J104" s="100"/>
    </row>
    <row r="105">
      <c r="B105" s="60">
        <v>99.0</v>
      </c>
      <c r="C105" s="85"/>
      <c r="D105" s="85"/>
      <c r="E105" s="85"/>
      <c r="F105" s="30"/>
      <c r="G105" s="30"/>
      <c r="H105" s="30"/>
      <c r="I105" s="30"/>
      <c r="J105" s="100"/>
    </row>
    <row r="106">
      <c r="B106" s="60">
        <v>100.0</v>
      </c>
      <c r="C106" s="85"/>
      <c r="D106" s="85"/>
      <c r="E106" s="85"/>
      <c r="F106" s="30"/>
      <c r="G106" s="30"/>
      <c r="H106" s="30"/>
      <c r="I106" s="30"/>
      <c r="J106" s="100"/>
    </row>
    <row r="107">
      <c r="B107" s="60">
        <v>101.0</v>
      </c>
      <c r="C107" s="85"/>
      <c r="D107" s="85"/>
      <c r="E107" s="85"/>
      <c r="F107" s="30"/>
      <c r="G107" s="30"/>
      <c r="H107" s="30"/>
      <c r="I107" s="30"/>
      <c r="J107" s="100"/>
    </row>
    <row r="108">
      <c r="B108" s="60">
        <v>102.0</v>
      </c>
      <c r="C108" s="85"/>
      <c r="D108" s="85"/>
      <c r="E108" s="85"/>
      <c r="F108" s="30"/>
      <c r="G108" s="30"/>
      <c r="H108" s="30"/>
      <c r="I108" s="30"/>
      <c r="J108" s="100"/>
    </row>
    <row r="109">
      <c r="B109" s="60">
        <v>103.0</v>
      </c>
      <c r="C109" s="85"/>
      <c r="D109" s="85"/>
      <c r="E109" s="85"/>
      <c r="F109" s="30"/>
      <c r="G109" s="30"/>
      <c r="H109" s="30"/>
      <c r="I109" s="30"/>
      <c r="J109" s="100"/>
    </row>
    <row r="110">
      <c r="B110" s="60">
        <v>104.0</v>
      </c>
      <c r="C110" s="85"/>
      <c r="D110" s="85"/>
      <c r="E110" s="85"/>
      <c r="F110" s="30"/>
      <c r="G110" s="30"/>
      <c r="H110" s="30"/>
      <c r="I110" s="30"/>
      <c r="J110" s="100"/>
    </row>
    <row r="111">
      <c r="B111" s="60">
        <v>105.0</v>
      </c>
      <c r="C111" s="85"/>
      <c r="D111" s="85"/>
      <c r="E111" s="85"/>
      <c r="F111" s="30"/>
      <c r="G111" s="30"/>
      <c r="H111" s="30"/>
      <c r="I111" s="30"/>
      <c r="J111" s="100"/>
    </row>
    <row r="112">
      <c r="B112" s="60">
        <v>106.0</v>
      </c>
      <c r="C112" s="85"/>
      <c r="D112" s="85"/>
      <c r="E112" s="85"/>
      <c r="F112" s="30"/>
      <c r="G112" s="30"/>
      <c r="H112" s="30"/>
      <c r="I112" s="30"/>
      <c r="J112" s="100"/>
    </row>
    <row r="113">
      <c r="B113" s="60">
        <v>107.0</v>
      </c>
      <c r="C113" s="85"/>
      <c r="D113" s="85"/>
      <c r="E113" s="85"/>
      <c r="F113" s="30"/>
      <c r="G113" s="30"/>
      <c r="H113" s="30"/>
      <c r="I113" s="30"/>
      <c r="J113" s="100"/>
    </row>
    <row r="114">
      <c r="B114" s="60">
        <v>108.0</v>
      </c>
      <c r="C114" s="85"/>
      <c r="D114" s="85"/>
      <c r="E114" s="85"/>
      <c r="F114" s="30"/>
      <c r="G114" s="30"/>
      <c r="H114" s="30"/>
      <c r="I114" s="30"/>
      <c r="J114" s="100"/>
    </row>
    <row r="115">
      <c r="B115" s="60">
        <v>109.0</v>
      </c>
      <c r="C115" s="85"/>
      <c r="D115" s="85"/>
      <c r="E115" s="85"/>
      <c r="F115" s="30"/>
      <c r="G115" s="30"/>
      <c r="H115" s="30"/>
      <c r="I115" s="30"/>
      <c r="J115" s="100"/>
    </row>
    <row r="116">
      <c r="B116" s="60">
        <v>110.0</v>
      </c>
      <c r="C116" s="85"/>
      <c r="D116" s="85"/>
      <c r="E116" s="85"/>
      <c r="F116" s="30"/>
      <c r="G116" s="30"/>
      <c r="H116" s="30"/>
      <c r="I116" s="30"/>
      <c r="J116" s="100"/>
    </row>
    <row r="117">
      <c r="B117" s="60">
        <v>111.0</v>
      </c>
      <c r="C117" s="85"/>
      <c r="D117" s="85"/>
      <c r="E117" s="85"/>
      <c r="F117" s="30"/>
      <c r="G117" s="30"/>
      <c r="H117" s="30"/>
      <c r="I117" s="30"/>
      <c r="J117" s="100"/>
    </row>
    <row r="118">
      <c r="B118" s="60">
        <v>112.0</v>
      </c>
      <c r="C118" s="85"/>
      <c r="D118" s="85"/>
      <c r="E118" s="85"/>
      <c r="F118" s="30"/>
      <c r="G118" s="30"/>
      <c r="H118" s="30"/>
      <c r="I118" s="30"/>
      <c r="J118" s="100"/>
    </row>
    <row r="119">
      <c r="B119" s="60">
        <v>113.0</v>
      </c>
      <c r="C119" s="85"/>
      <c r="D119" s="85"/>
      <c r="E119" s="85"/>
      <c r="F119" s="30"/>
      <c r="G119" s="30"/>
      <c r="H119" s="30"/>
      <c r="I119" s="30"/>
      <c r="J119" s="100"/>
    </row>
    <row r="120">
      <c r="B120" s="60">
        <v>114.0</v>
      </c>
      <c r="C120" s="85"/>
      <c r="D120" s="85"/>
      <c r="E120" s="85"/>
      <c r="F120" s="30"/>
      <c r="G120" s="30"/>
      <c r="H120" s="30"/>
      <c r="I120" s="30"/>
      <c r="J120" s="100"/>
    </row>
    <row r="121">
      <c r="B121" s="60">
        <v>115.0</v>
      </c>
      <c r="C121" s="85"/>
      <c r="D121" s="85"/>
      <c r="E121" s="85"/>
      <c r="F121" s="30"/>
      <c r="G121" s="30"/>
      <c r="H121" s="30"/>
      <c r="I121" s="30"/>
      <c r="J121" s="100"/>
    </row>
    <row r="122">
      <c r="B122" s="60">
        <v>116.0</v>
      </c>
      <c r="C122" s="85"/>
      <c r="D122" s="85"/>
      <c r="E122" s="85"/>
      <c r="F122" s="30"/>
      <c r="G122" s="30"/>
      <c r="H122" s="30"/>
      <c r="I122" s="30"/>
      <c r="J122" s="100"/>
    </row>
    <row r="123">
      <c r="B123" s="60">
        <v>117.0</v>
      </c>
      <c r="C123" s="85"/>
      <c r="D123" s="85"/>
      <c r="E123" s="85"/>
      <c r="F123" s="30"/>
      <c r="G123" s="30"/>
      <c r="H123" s="30"/>
      <c r="I123" s="30"/>
      <c r="J123" s="100"/>
    </row>
    <row r="124">
      <c r="B124" s="60">
        <v>118.0</v>
      </c>
      <c r="C124" s="85"/>
      <c r="D124" s="85"/>
      <c r="E124" s="85"/>
      <c r="F124" s="30"/>
      <c r="G124" s="30"/>
      <c r="H124" s="30"/>
      <c r="I124" s="30"/>
      <c r="J124" s="100"/>
    </row>
    <row r="125">
      <c r="B125" s="60">
        <v>119.0</v>
      </c>
      <c r="C125" s="85"/>
      <c r="D125" s="85"/>
      <c r="E125" s="85"/>
      <c r="F125" s="30"/>
      <c r="G125" s="30"/>
      <c r="H125" s="30"/>
      <c r="I125" s="30"/>
      <c r="J125" s="100"/>
    </row>
    <row r="126">
      <c r="B126" s="60">
        <v>120.0</v>
      </c>
      <c r="C126" s="85"/>
      <c r="D126" s="85"/>
      <c r="E126" s="85"/>
      <c r="F126" s="30"/>
      <c r="G126" s="30"/>
      <c r="H126" s="30"/>
      <c r="I126" s="30"/>
      <c r="J126" s="100"/>
    </row>
    <row r="127">
      <c r="B127" s="60">
        <v>121.0</v>
      </c>
      <c r="C127" s="85"/>
      <c r="D127" s="85"/>
      <c r="E127" s="85"/>
      <c r="F127" s="30"/>
      <c r="G127" s="30"/>
      <c r="H127" s="30"/>
      <c r="I127" s="30"/>
      <c r="J127" s="100"/>
    </row>
    <row r="128">
      <c r="B128" s="60">
        <v>122.0</v>
      </c>
      <c r="C128" s="85"/>
      <c r="D128" s="85"/>
      <c r="E128" s="85"/>
      <c r="F128" s="30"/>
      <c r="G128" s="30"/>
      <c r="H128" s="30"/>
      <c r="I128" s="30"/>
      <c r="J128" s="100"/>
    </row>
    <row r="129">
      <c r="B129" s="60">
        <v>123.0</v>
      </c>
      <c r="C129" s="85"/>
      <c r="D129" s="85"/>
      <c r="E129" s="85"/>
      <c r="F129" s="30"/>
      <c r="G129" s="30"/>
      <c r="H129" s="30"/>
      <c r="I129" s="30"/>
      <c r="J129" s="100"/>
    </row>
    <row r="130">
      <c r="B130" s="60">
        <v>124.0</v>
      </c>
      <c r="C130" s="85"/>
      <c r="D130" s="85"/>
      <c r="E130" s="85"/>
      <c r="F130" s="30"/>
      <c r="G130" s="30"/>
      <c r="H130" s="30"/>
      <c r="I130" s="30"/>
      <c r="J130" s="100"/>
    </row>
    <row r="131">
      <c r="B131" s="60">
        <v>125.0</v>
      </c>
      <c r="C131" s="85"/>
      <c r="D131" s="85"/>
      <c r="E131" s="85"/>
      <c r="F131" s="30"/>
      <c r="G131" s="30"/>
      <c r="H131" s="30"/>
      <c r="I131" s="30"/>
      <c r="J131" s="100"/>
    </row>
    <row r="132">
      <c r="B132" s="60">
        <v>126.0</v>
      </c>
      <c r="C132" s="85"/>
      <c r="D132" s="85"/>
      <c r="E132" s="85"/>
      <c r="F132" s="30"/>
      <c r="G132" s="30"/>
      <c r="H132" s="30"/>
      <c r="I132" s="30"/>
      <c r="J132" s="100"/>
    </row>
    <row r="133">
      <c r="B133" s="60">
        <v>127.0</v>
      </c>
      <c r="C133" s="85"/>
      <c r="D133" s="85"/>
      <c r="E133" s="85"/>
      <c r="F133" s="30"/>
      <c r="G133" s="30"/>
      <c r="H133" s="30"/>
      <c r="I133" s="30"/>
      <c r="J133" s="100"/>
    </row>
    <row r="134">
      <c r="B134" s="60">
        <v>128.0</v>
      </c>
      <c r="C134" s="85"/>
      <c r="D134" s="85"/>
      <c r="E134" s="85"/>
      <c r="F134" s="30"/>
      <c r="G134" s="30"/>
      <c r="H134" s="30"/>
      <c r="I134" s="30"/>
      <c r="J134" s="100"/>
    </row>
    <row r="135">
      <c r="B135" s="60">
        <v>129.0</v>
      </c>
      <c r="C135" s="23"/>
      <c r="D135" s="23"/>
      <c r="E135" s="85"/>
      <c r="F135" s="30"/>
      <c r="G135" s="30"/>
      <c r="H135" s="30"/>
      <c r="I135" s="30"/>
      <c r="J135" s="100"/>
    </row>
    <row r="136">
      <c r="B136" s="60">
        <v>130.0</v>
      </c>
      <c r="C136" s="23"/>
      <c r="D136" s="23"/>
      <c r="E136" s="85"/>
      <c r="F136" s="30"/>
      <c r="G136" s="30"/>
      <c r="H136" s="30"/>
      <c r="I136" s="30"/>
      <c r="J136" s="100"/>
    </row>
    <row r="137">
      <c r="B137" s="60">
        <v>131.0</v>
      </c>
      <c r="C137" s="23"/>
      <c r="D137" s="23"/>
      <c r="E137" s="85"/>
      <c r="F137" s="30"/>
      <c r="G137" s="30"/>
      <c r="H137" s="30"/>
      <c r="I137" s="30"/>
      <c r="J137" s="100"/>
    </row>
    <row r="138">
      <c r="B138" s="60">
        <v>132.0</v>
      </c>
      <c r="C138" s="23"/>
      <c r="D138" s="23"/>
      <c r="E138" s="85"/>
      <c r="F138" s="30"/>
      <c r="G138" s="30"/>
      <c r="H138" s="30"/>
      <c r="I138" s="30"/>
      <c r="J138" s="100"/>
    </row>
    <row r="139">
      <c r="B139" s="60">
        <v>133.0</v>
      </c>
      <c r="C139" s="23"/>
      <c r="D139" s="23"/>
      <c r="E139" s="85"/>
      <c r="F139" s="30"/>
      <c r="G139" s="30"/>
      <c r="H139" s="30"/>
      <c r="I139" s="30"/>
      <c r="J139" s="100"/>
    </row>
    <row r="140">
      <c r="B140" s="60">
        <v>134.0</v>
      </c>
      <c r="C140" s="23"/>
      <c r="D140" s="23"/>
      <c r="E140" s="85"/>
      <c r="F140" s="30"/>
      <c r="G140" s="30"/>
      <c r="H140" s="30"/>
      <c r="I140" s="30"/>
      <c r="J140" s="100"/>
    </row>
    <row r="141">
      <c r="B141" s="60">
        <v>135.0</v>
      </c>
      <c r="C141" s="23"/>
      <c r="D141" s="23"/>
      <c r="E141" s="85"/>
      <c r="F141" s="30"/>
      <c r="G141" s="30"/>
      <c r="H141" s="30"/>
      <c r="I141" s="30"/>
      <c r="J141" s="100"/>
    </row>
    <row r="142">
      <c r="B142" s="60">
        <v>136.0</v>
      </c>
      <c r="C142" s="23"/>
      <c r="D142" s="23"/>
      <c r="E142" s="85"/>
      <c r="F142" s="30"/>
      <c r="G142" s="30"/>
      <c r="H142" s="30"/>
      <c r="I142" s="30"/>
      <c r="J142" s="100"/>
    </row>
    <row r="143">
      <c r="B143" s="60">
        <v>137.0</v>
      </c>
      <c r="C143" s="23"/>
      <c r="D143" s="23"/>
      <c r="E143" s="85"/>
      <c r="F143" s="30"/>
      <c r="G143" s="30"/>
      <c r="H143" s="30"/>
      <c r="I143" s="30"/>
      <c r="J143" s="100"/>
    </row>
    <row r="144">
      <c r="B144" s="60">
        <v>138.0</v>
      </c>
      <c r="C144" s="23"/>
      <c r="D144" s="23"/>
      <c r="E144" s="85"/>
      <c r="F144" s="30"/>
      <c r="G144" s="30"/>
      <c r="H144" s="30"/>
      <c r="I144" s="30"/>
      <c r="J144" s="100"/>
    </row>
    <row r="145">
      <c r="B145" s="60">
        <v>139.0</v>
      </c>
      <c r="C145" s="23"/>
      <c r="D145" s="23"/>
      <c r="E145" s="85"/>
      <c r="F145" s="30"/>
      <c r="G145" s="30"/>
      <c r="H145" s="30"/>
      <c r="I145" s="30"/>
      <c r="J145" s="100"/>
    </row>
    <row r="146">
      <c r="B146" s="60">
        <v>140.0</v>
      </c>
      <c r="C146" s="23"/>
      <c r="D146" s="23"/>
      <c r="E146" s="85"/>
      <c r="F146" s="30"/>
      <c r="G146" s="30"/>
      <c r="H146" s="30"/>
      <c r="I146" s="30"/>
      <c r="J146" s="100"/>
    </row>
    <row r="147">
      <c r="B147" s="60">
        <v>141.0</v>
      </c>
      <c r="C147" s="23"/>
      <c r="D147" s="23"/>
      <c r="E147" s="85"/>
      <c r="F147" s="30"/>
      <c r="G147" s="30"/>
      <c r="H147" s="30"/>
      <c r="I147" s="30"/>
      <c r="J147" s="100"/>
    </row>
    <row r="148">
      <c r="B148" s="60">
        <v>142.0</v>
      </c>
      <c r="C148" s="23"/>
      <c r="D148" s="23"/>
      <c r="E148" s="85"/>
      <c r="F148" s="30"/>
      <c r="G148" s="30"/>
      <c r="H148" s="30"/>
      <c r="I148" s="30"/>
      <c r="J148" s="100"/>
    </row>
    <row r="149">
      <c r="B149" s="60">
        <v>143.0</v>
      </c>
      <c r="C149" s="23"/>
      <c r="D149" s="23"/>
      <c r="E149" s="85"/>
      <c r="F149" s="30"/>
      <c r="G149" s="30"/>
      <c r="H149" s="30"/>
      <c r="I149" s="30"/>
      <c r="J149" s="100"/>
    </row>
    <row r="150">
      <c r="B150" s="60">
        <v>144.0</v>
      </c>
      <c r="C150" s="23"/>
      <c r="D150" s="23"/>
      <c r="E150" s="85"/>
      <c r="F150" s="30"/>
      <c r="G150" s="30"/>
      <c r="H150" s="30"/>
      <c r="I150" s="30"/>
      <c r="J150" s="100"/>
    </row>
    <row r="151">
      <c r="B151" s="60">
        <v>145.0</v>
      </c>
      <c r="C151" s="23"/>
      <c r="D151" s="23"/>
      <c r="E151" s="85"/>
      <c r="F151" s="30"/>
      <c r="G151" s="30"/>
      <c r="H151" s="30"/>
      <c r="I151" s="30"/>
      <c r="J151" s="100"/>
    </row>
    <row r="152">
      <c r="B152" s="60">
        <v>146.0</v>
      </c>
      <c r="C152" s="23"/>
      <c r="D152" s="23"/>
      <c r="E152" s="85"/>
      <c r="F152" s="30"/>
      <c r="G152" s="30"/>
      <c r="H152" s="30"/>
      <c r="I152" s="30"/>
      <c r="J152" s="100"/>
    </row>
    <row r="153">
      <c r="B153" s="60">
        <v>147.0</v>
      </c>
      <c r="C153" s="23"/>
      <c r="D153" s="23"/>
      <c r="E153" s="85"/>
      <c r="F153" s="30"/>
      <c r="G153" s="30"/>
      <c r="H153" s="30"/>
      <c r="I153" s="30"/>
      <c r="J153" s="100"/>
    </row>
    <row r="154">
      <c r="B154" s="60">
        <v>148.0</v>
      </c>
      <c r="C154" s="23"/>
      <c r="D154" s="23"/>
      <c r="E154" s="85"/>
      <c r="F154" s="30"/>
      <c r="G154" s="30"/>
      <c r="H154" s="30"/>
      <c r="I154" s="30"/>
      <c r="J154" s="100"/>
    </row>
    <row r="155">
      <c r="B155" s="60">
        <v>149.0</v>
      </c>
      <c r="C155" s="23"/>
      <c r="D155" s="23"/>
      <c r="E155" s="85"/>
      <c r="F155" s="30"/>
      <c r="G155" s="30"/>
      <c r="H155" s="30"/>
      <c r="I155" s="30"/>
      <c r="J155" s="100"/>
    </row>
    <row r="156">
      <c r="B156" s="60">
        <v>150.0</v>
      </c>
      <c r="C156" s="23"/>
      <c r="D156" s="23"/>
      <c r="E156" s="85"/>
      <c r="F156" s="30"/>
      <c r="G156" s="30"/>
      <c r="H156" s="30"/>
      <c r="I156" s="30"/>
      <c r="J156" s="100"/>
    </row>
    <row r="157">
      <c r="B157" s="60">
        <v>151.0</v>
      </c>
      <c r="C157" s="23"/>
      <c r="D157" s="23"/>
      <c r="E157" s="85"/>
      <c r="F157" s="30"/>
      <c r="G157" s="30"/>
      <c r="H157" s="30"/>
      <c r="I157" s="30"/>
      <c r="J157" s="100"/>
    </row>
    <row r="158">
      <c r="B158" s="60">
        <v>152.0</v>
      </c>
      <c r="C158" s="23"/>
      <c r="D158" s="23"/>
      <c r="E158" s="85"/>
      <c r="F158" s="30"/>
      <c r="G158" s="30"/>
      <c r="H158" s="30"/>
      <c r="I158" s="30"/>
      <c r="J158" s="100"/>
    </row>
    <row r="159">
      <c r="B159" s="60">
        <v>153.0</v>
      </c>
      <c r="C159" s="23"/>
      <c r="D159" s="23"/>
      <c r="E159" s="85"/>
      <c r="F159" s="30"/>
      <c r="G159" s="30"/>
      <c r="H159" s="30"/>
      <c r="I159" s="30"/>
      <c r="J159" s="100"/>
    </row>
    <row r="160">
      <c r="B160" s="60">
        <v>154.0</v>
      </c>
      <c r="C160" s="23"/>
      <c r="D160" s="23"/>
      <c r="E160" s="85"/>
      <c r="F160" s="30"/>
      <c r="G160" s="30"/>
      <c r="H160" s="30"/>
      <c r="I160" s="30"/>
      <c r="J160" s="100"/>
    </row>
    <row r="161">
      <c r="B161" s="60">
        <v>155.0</v>
      </c>
      <c r="C161" s="23"/>
      <c r="D161" s="23"/>
      <c r="E161" s="85"/>
      <c r="F161" s="30"/>
      <c r="G161" s="30"/>
      <c r="H161" s="30"/>
      <c r="I161" s="30"/>
      <c r="J161" s="100"/>
    </row>
    <row r="162">
      <c r="B162" s="60">
        <v>156.0</v>
      </c>
      <c r="C162" s="23"/>
      <c r="D162" s="23"/>
      <c r="E162" s="85"/>
      <c r="F162" s="30"/>
      <c r="G162" s="30"/>
      <c r="H162" s="30"/>
      <c r="I162" s="30"/>
      <c r="J162" s="100"/>
    </row>
    <row r="163">
      <c r="B163" s="60">
        <v>157.0</v>
      </c>
      <c r="C163" s="23"/>
      <c r="D163" s="23"/>
      <c r="E163" s="85"/>
      <c r="F163" s="30"/>
      <c r="G163" s="30"/>
      <c r="H163" s="30"/>
      <c r="I163" s="30"/>
      <c r="J163" s="100"/>
    </row>
    <row r="164">
      <c r="B164" s="60">
        <v>158.0</v>
      </c>
      <c r="C164" s="23"/>
      <c r="D164" s="23"/>
      <c r="E164" s="85"/>
      <c r="F164" s="30"/>
      <c r="G164" s="30"/>
      <c r="H164" s="30"/>
      <c r="I164" s="30"/>
      <c r="J164" s="100"/>
    </row>
    <row r="165">
      <c r="B165" s="60">
        <v>159.0</v>
      </c>
      <c r="C165" s="23"/>
      <c r="D165" s="23"/>
      <c r="E165" s="85"/>
      <c r="F165" s="30"/>
      <c r="G165" s="30"/>
      <c r="H165" s="30"/>
      <c r="I165" s="30"/>
      <c r="J165" s="100"/>
    </row>
    <row r="166">
      <c r="B166" s="60">
        <v>160.0</v>
      </c>
      <c r="C166" s="23"/>
      <c r="D166" s="23"/>
      <c r="E166" s="85"/>
      <c r="F166" s="30"/>
      <c r="G166" s="30"/>
      <c r="H166" s="30"/>
      <c r="I166" s="30"/>
      <c r="J166" s="100"/>
    </row>
    <row r="167">
      <c r="B167" s="60">
        <v>161.0</v>
      </c>
      <c r="C167" s="23"/>
      <c r="D167" s="23"/>
      <c r="E167" s="85"/>
      <c r="F167" s="30"/>
      <c r="G167" s="30"/>
      <c r="H167" s="30"/>
      <c r="I167" s="30"/>
      <c r="J167" s="100"/>
    </row>
    <row r="168">
      <c r="B168" s="60">
        <v>162.0</v>
      </c>
      <c r="C168" s="23"/>
      <c r="D168" s="23"/>
      <c r="E168" s="85"/>
      <c r="F168" s="30"/>
      <c r="G168" s="30"/>
      <c r="H168" s="30"/>
      <c r="I168" s="30"/>
      <c r="J168" s="100"/>
    </row>
    <row r="169">
      <c r="B169" s="60">
        <v>163.0</v>
      </c>
      <c r="C169" s="23"/>
      <c r="D169" s="23"/>
      <c r="E169" s="85"/>
      <c r="F169" s="30"/>
      <c r="G169" s="30"/>
      <c r="H169" s="30"/>
      <c r="I169" s="30"/>
      <c r="J169" s="100"/>
    </row>
    <row r="170">
      <c r="B170" s="60">
        <v>164.0</v>
      </c>
      <c r="C170" s="23"/>
      <c r="D170" s="23"/>
      <c r="E170" s="85"/>
      <c r="F170" s="30"/>
      <c r="G170" s="30"/>
      <c r="H170" s="30"/>
      <c r="I170" s="30"/>
      <c r="J170" s="100"/>
    </row>
    <row r="171">
      <c r="B171" s="60">
        <v>165.0</v>
      </c>
      <c r="C171" s="23"/>
      <c r="D171" s="23"/>
      <c r="E171" s="85"/>
      <c r="F171" s="30"/>
      <c r="G171" s="30"/>
      <c r="H171" s="30"/>
      <c r="I171" s="30"/>
      <c r="J171" s="100"/>
    </row>
    <row r="172">
      <c r="B172" s="60">
        <v>166.0</v>
      </c>
      <c r="C172" s="23"/>
      <c r="D172" s="23"/>
      <c r="E172" s="85"/>
      <c r="F172" s="30"/>
      <c r="G172" s="30"/>
      <c r="H172" s="30"/>
      <c r="I172" s="30"/>
      <c r="J172" s="100"/>
    </row>
    <row r="173">
      <c r="B173" s="60">
        <v>167.0</v>
      </c>
      <c r="C173" s="23"/>
      <c r="D173" s="23"/>
      <c r="E173" s="85"/>
      <c r="F173" s="30"/>
      <c r="G173" s="30"/>
      <c r="H173" s="30"/>
      <c r="I173" s="30"/>
      <c r="J173" s="100"/>
    </row>
    <row r="174">
      <c r="B174" s="60">
        <v>168.0</v>
      </c>
      <c r="C174" s="23"/>
      <c r="D174" s="23"/>
      <c r="E174" s="85"/>
      <c r="F174" s="30"/>
      <c r="G174" s="30"/>
      <c r="H174" s="30"/>
      <c r="I174" s="30"/>
      <c r="J174" s="100"/>
    </row>
    <row r="175">
      <c r="B175" s="60">
        <v>169.0</v>
      </c>
      <c r="C175" s="23"/>
      <c r="D175" s="23"/>
      <c r="E175" s="85"/>
      <c r="F175" s="30"/>
      <c r="G175" s="30"/>
      <c r="H175" s="30"/>
      <c r="I175" s="30"/>
      <c r="J175" s="100"/>
    </row>
    <row r="176">
      <c r="B176" s="60">
        <v>170.0</v>
      </c>
      <c r="C176" s="23"/>
      <c r="D176" s="23"/>
      <c r="E176" s="85"/>
      <c r="F176" s="30"/>
      <c r="G176" s="30"/>
      <c r="H176" s="30"/>
      <c r="I176" s="30"/>
      <c r="J176" s="100"/>
    </row>
    <row r="177">
      <c r="B177" s="60">
        <v>171.0</v>
      </c>
      <c r="C177" s="23"/>
      <c r="D177" s="23"/>
      <c r="E177" s="85"/>
      <c r="F177" s="30"/>
      <c r="G177" s="30"/>
      <c r="H177" s="30"/>
      <c r="I177" s="30"/>
      <c r="J177" s="100"/>
    </row>
    <row r="178">
      <c r="B178" s="60">
        <v>172.0</v>
      </c>
      <c r="C178" s="23"/>
      <c r="D178" s="23"/>
      <c r="E178" s="85"/>
      <c r="F178" s="30"/>
      <c r="G178" s="30"/>
      <c r="H178" s="30"/>
      <c r="I178" s="30"/>
      <c r="J178" s="100"/>
    </row>
    <row r="179">
      <c r="B179" s="60">
        <v>173.0</v>
      </c>
      <c r="C179" s="23"/>
      <c r="D179" s="23"/>
      <c r="E179" s="85"/>
      <c r="F179" s="30"/>
      <c r="G179" s="30"/>
      <c r="H179" s="30"/>
      <c r="I179" s="30"/>
      <c r="J179" s="100"/>
    </row>
    <row r="180">
      <c r="B180" s="60">
        <v>174.0</v>
      </c>
      <c r="C180" s="23"/>
      <c r="D180" s="23"/>
      <c r="E180" s="85"/>
      <c r="F180" s="30"/>
      <c r="G180" s="30"/>
      <c r="H180" s="30"/>
      <c r="I180" s="30"/>
      <c r="J180" s="100"/>
    </row>
    <row r="181">
      <c r="B181" s="60">
        <v>175.0</v>
      </c>
      <c r="C181" s="23"/>
      <c r="D181" s="23"/>
      <c r="E181" s="85"/>
      <c r="F181" s="30"/>
      <c r="G181" s="30"/>
      <c r="H181" s="30"/>
      <c r="I181" s="30"/>
      <c r="J181" s="100"/>
    </row>
    <row r="182">
      <c r="B182" s="60">
        <v>176.0</v>
      </c>
      <c r="C182" s="23"/>
      <c r="D182" s="23"/>
      <c r="E182" s="85"/>
      <c r="F182" s="30"/>
      <c r="G182" s="30"/>
      <c r="H182" s="30"/>
      <c r="I182" s="30"/>
      <c r="J182" s="100"/>
    </row>
    <row r="183">
      <c r="B183" s="60">
        <v>177.0</v>
      </c>
      <c r="C183" s="23"/>
      <c r="D183" s="23"/>
      <c r="E183" s="85"/>
      <c r="F183" s="30"/>
      <c r="G183" s="30"/>
      <c r="H183" s="30"/>
      <c r="I183" s="30"/>
      <c r="J183" s="100"/>
    </row>
    <row r="184">
      <c r="B184" s="60">
        <v>178.0</v>
      </c>
      <c r="C184" s="23"/>
      <c r="D184" s="23"/>
      <c r="E184" s="85"/>
      <c r="F184" s="30"/>
      <c r="G184" s="30"/>
      <c r="H184" s="30"/>
      <c r="I184" s="30"/>
      <c r="J184" s="100"/>
    </row>
    <row r="185">
      <c r="B185" s="60">
        <v>179.0</v>
      </c>
      <c r="C185" s="23"/>
      <c r="D185" s="23"/>
      <c r="E185" s="85"/>
      <c r="F185" s="30"/>
      <c r="G185" s="30"/>
      <c r="H185" s="30"/>
      <c r="I185" s="30"/>
      <c r="J185" s="100"/>
    </row>
    <row r="186">
      <c r="B186" s="60">
        <v>180.0</v>
      </c>
      <c r="C186" s="23"/>
      <c r="D186" s="23"/>
      <c r="E186" s="85"/>
      <c r="F186" s="30"/>
      <c r="G186" s="30"/>
      <c r="H186" s="30"/>
      <c r="I186" s="30"/>
      <c r="J186" s="100"/>
    </row>
    <row r="187">
      <c r="B187" s="60">
        <v>181.0</v>
      </c>
      <c r="C187" s="23"/>
      <c r="D187" s="23"/>
      <c r="E187" s="85"/>
      <c r="F187" s="30"/>
      <c r="G187" s="30"/>
      <c r="H187" s="30"/>
      <c r="I187" s="30"/>
      <c r="J187" s="100"/>
    </row>
    <row r="188">
      <c r="B188" s="60">
        <v>182.0</v>
      </c>
      <c r="C188" s="23"/>
      <c r="D188" s="23"/>
      <c r="E188" s="85"/>
      <c r="F188" s="30"/>
      <c r="G188" s="30"/>
      <c r="H188" s="30"/>
      <c r="I188" s="30"/>
      <c r="J188" s="100"/>
    </row>
    <row r="189">
      <c r="B189" s="60">
        <v>183.0</v>
      </c>
      <c r="C189" s="23"/>
      <c r="D189" s="23"/>
      <c r="E189" s="85"/>
      <c r="F189" s="30"/>
      <c r="G189" s="30"/>
      <c r="H189" s="30"/>
      <c r="I189" s="30"/>
      <c r="J189" s="100"/>
    </row>
    <row r="190">
      <c r="B190" s="60">
        <v>184.0</v>
      </c>
      <c r="C190" s="23"/>
      <c r="D190" s="23"/>
      <c r="E190" s="85"/>
      <c r="F190" s="30"/>
      <c r="G190" s="30"/>
      <c r="H190" s="30"/>
      <c r="I190" s="30"/>
      <c r="J190" s="100"/>
    </row>
    <row r="191">
      <c r="B191" s="60">
        <v>185.0</v>
      </c>
      <c r="C191" s="23"/>
      <c r="D191" s="23"/>
      <c r="E191" s="85"/>
      <c r="F191" s="30"/>
      <c r="G191" s="30"/>
      <c r="H191" s="30"/>
      <c r="I191" s="30"/>
      <c r="J191" s="100"/>
    </row>
    <row r="192">
      <c r="B192" s="60">
        <v>186.0</v>
      </c>
      <c r="C192" s="23"/>
      <c r="D192" s="23"/>
      <c r="E192" s="85"/>
      <c r="F192" s="30"/>
      <c r="G192" s="30"/>
      <c r="H192" s="30"/>
      <c r="I192" s="30"/>
      <c r="J192" s="100"/>
    </row>
    <row r="193">
      <c r="B193" s="60">
        <v>187.0</v>
      </c>
      <c r="C193" s="23"/>
      <c r="D193" s="23"/>
      <c r="E193" s="85"/>
      <c r="F193" s="30"/>
      <c r="G193" s="30"/>
      <c r="H193" s="30"/>
      <c r="I193" s="30"/>
      <c r="J193" s="100"/>
    </row>
    <row r="194">
      <c r="B194" s="60">
        <v>188.0</v>
      </c>
      <c r="C194" s="23"/>
      <c r="D194" s="23"/>
      <c r="E194" s="85"/>
      <c r="F194" s="30"/>
      <c r="G194" s="30"/>
      <c r="H194" s="30"/>
      <c r="I194" s="30"/>
      <c r="J194" s="100"/>
    </row>
    <row r="195">
      <c r="B195" s="60">
        <v>189.0</v>
      </c>
      <c r="C195" s="23"/>
      <c r="D195" s="23"/>
      <c r="E195" s="85"/>
      <c r="F195" s="30"/>
      <c r="G195" s="30"/>
      <c r="H195" s="30"/>
      <c r="I195" s="30"/>
      <c r="J195" s="100"/>
    </row>
    <row r="196">
      <c r="B196" s="60">
        <v>190.0</v>
      </c>
      <c r="C196" s="23"/>
      <c r="D196" s="23"/>
      <c r="E196" s="85"/>
      <c r="F196" s="30"/>
      <c r="G196" s="30"/>
      <c r="H196" s="30"/>
      <c r="I196" s="30"/>
      <c r="J196" s="100"/>
    </row>
    <row r="197">
      <c r="B197" s="60">
        <v>191.0</v>
      </c>
      <c r="C197" s="23"/>
      <c r="D197" s="23"/>
      <c r="E197" s="85"/>
      <c r="F197" s="30"/>
      <c r="G197" s="30"/>
      <c r="H197" s="30"/>
      <c r="I197" s="30"/>
      <c r="J197" s="100"/>
    </row>
    <row r="198">
      <c r="B198" s="60">
        <v>192.0</v>
      </c>
      <c r="C198" s="23"/>
      <c r="D198" s="23"/>
      <c r="E198" s="85"/>
      <c r="F198" s="30"/>
      <c r="G198" s="30"/>
      <c r="H198" s="30"/>
      <c r="I198" s="30"/>
      <c r="J198" s="100"/>
    </row>
    <row r="199">
      <c r="B199" s="60">
        <v>193.0</v>
      </c>
      <c r="C199" s="23"/>
      <c r="D199" s="23"/>
      <c r="E199" s="85"/>
      <c r="F199" s="30"/>
      <c r="G199" s="30"/>
      <c r="H199" s="30"/>
      <c r="I199" s="30"/>
      <c r="J199" s="100"/>
    </row>
    <row r="200">
      <c r="B200" s="60">
        <v>194.0</v>
      </c>
      <c r="C200" s="23"/>
      <c r="D200" s="23"/>
      <c r="E200" s="85"/>
      <c r="F200" s="30"/>
      <c r="G200" s="30"/>
      <c r="H200" s="30"/>
      <c r="I200" s="30"/>
      <c r="J200" s="100"/>
    </row>
    <row r="201">
      <c r="B201" s="60">
        <v>195.0</v>
      </c>
      <c r="C201" s="23"/>
      <c r="D201" s="23"/>
      <c r="E201" s="85"/>
      <c r="F201" s="30"/>
      <c r="G201" s="30"/>
      <c r="H201" s="30"/>
      <c r="I201" s="30"/>
      <c r="J201" s="100"/>
    </row>
    <row r="202">
      <c r="B202" s="60">
        <v>196.0</v>
      </c>
      <c r="C202" s="23"/>
      <c r="D202" s="23"/>
      <c r="E202" s="85"/>
      <c r="F202" s="30"/>
      <c r="G202" s="30"/>
      <c r="H202" s="30"/>
      <c r="I202" s="30"/>
      <c r="J202" s="100"/>
    </row>
    <row r="203">
      <c r="B203" s="60">
        <v>197.0</v>
      </c>
      <c r="C203" s="23"/>
      <c r="D203" s="23"/>
      <c r="E203" s="85"/>
      <c r="F203" s="30"/>
      <c r="G203" s="30"/>
      <c r="H203" s="30"/>
      <c r="I203" s="30"/>
      <c r="J203" s="100"/>
    </row>
    <row r="204">
      <c r="B204" s="60">
        <v>198.0</v>
      </c>
      <c r="C204" s="23"/>
      <c r="D204" s="23"/>
      <c r="E204" s="85"/>
      <c r="F204" s="30"/>
      <c r="G204" s="30"/>
      <c r="H204" s="30"/>
      <c r="I204" s="30"/>
      <c r="J204" s="100"/>
    </row>
    <row r="205">
      <c r="B205" s="60">
        <v>199.0</v>
      </c>
      <c r="C205" s="23"/>
      <c r="D205" s="23"/>
      <c r="E205" s="85"/>
      <c r="F205" s="30"/>
      <c r="G205" s="30"/>
      <c r="H205" s="30"/>
      <c r="I205" s="30"/>
      <c r="J205" s="100"/>
    </row>
    <row r="206">
      <c r="B206" s="60">
        <v>200.0</v>
      </c>
      <c r="C206" s="23"/>
      <c r="D206" s="23"/>
      <c r="E206" s="85"/>
      <c r="F206" s="30"/>
      <c r="G206" s="30"/>
      <c r="H206" s="30"/>
      <c r="I206" s="30"/>
      <c r="J206" s="100"/>
    </row>
    <row r="207">
      <c r="B207" s="60">
        <v>201.0</v>
      </c>
      <c r="C207" s="23"/>
      <c r="D207" s="23"/>
      <c r="E207" s="85"/>
      <c r="F207" s="30"/>
      <c r="G207" s="30"/>
      <c r="H207" s="30"/>
      <c r="I207" s="30"/>
      <c r="J207" s="100"/>
    </row>
    <row r="208">
      <c r="B208" s="60">
        <v>202.0</v>
      </c>
      <c r="C208" s="23"/>
      <c r="D208" s="23"/>
      <c r="E208" s="85"/>
      <c r="F208" s="30"/>
      <c r="G208" s="30"/>
      <c r="H208" s="30"/>
      <c r="I208" s="30"/>
      <c r="J208" s="100"/>
    </row>
    <row r="209">
      <c r="B209" s="60">
        <v>203.0</v>
      </c>
      <c r="C209" s="23"/>
      <c r="D209" s="23"/>
      <c r="E209" s="85"/>
      <c r="F209" s="30"/>
      <c r="G209" s="30"/>
      <c r="H209" s="30"/>
      <c r="I209" s="30"/>
      <c r="J209" s="100"/>
    </row>
    <row r="210">
      <c r="B210" s="60">
        <v>204.0</v>
      </c>
      <c r="C210" s="23"/>
      <c r="D210" s="23"/>
      <c r="E210" s="85"/>
      <c r="F210" s="30"/>
      <c r="G210" s="30"/>
      <c r="H210" s="30"/>
      <c r="I210" s="30"/>
      <c r="J210" s="100"/>
    </row>
    <row r="211">
      <c r="B211" s="60">
        <v>205.0</v>
      </c>
      <c r="C211" s="23"/>
      <c r="D211" s="23"/>
      <c r="E211" s="85"/>
      <c r="F211" s="30"/>
      <c r="G211" s="30"/>
      <c r="H211" s="30"/>
      <c r="I211" s="30"/>
      <c r="J211" s="100"/>
    </row>
    <row r="212">
      <c r="B212" s="60">
        <v>206.0</v>
      </c>
      <c r="C212" s="23"/>
      <c r="D212" s="23"/>
      <c r="E212" s="85"/>
      <c r="F212" s="30"/>
      <c r="G212" s="30"/>
      <c r="H212" s="30"/>
      <c r="I212" s="30"/>
      <c r="J212" s="100"/>
    </row>
    <row r="213">
      <c r="B213" s="60">
        <v>207.0</v>
      </c>
      <c r="C213" s="23"/>
      <c r="D213" s="23"/>
      <c r="E213" s="85"/>
      <c r="F213" s="30"/>
      <c r="G213" s="30"/>
      <c r="H213" s="30"/>
      <c r="I213" s="30"/>
      <c r="J213" s="100"/>
    </row>
    <row r="214">
      <c r="B214" s="60">
        <v>208.0</v>
      </c>
      <c r="C214" s="23"/>
      <c r="D214" s="23"/>
      <c r="E214" s="85"/>
      <c r="F214" s="30"/>
      <c r="G214" s="30"/>
      <c r="H214" s="30"/>
      <c r="I214" s="30"/>
      <c r="J214" s="100"/>
    </row>
    <row r="215">
      <c r="B215" s="60">
        <v>209.0</v>
      </c>
      <c r="C215" s="23"/>
      <c r="D215" s="23"/>
      <c r="E215" s="85"/>
      <c r="F215" s="30"/>
      <c r="G215" s="30"/>
      <c r="H215" s="30"/>
      <c r="I215" s="30"/>
      <c r="J215" s="100"/>
    </row>
    <row r="216">
      <c r="B216" s="60">
        <v>210.0</v>
      </c>
      <c r="C216" s="23"/>
      <c r="D216" s="23"/>
      <c r="E216" s="85"/>
      <c r="F216" s="30"/>
      <c r="G216" s="30"/>
      <c r="H216" s="30"/>
      <c r="I216" s="30"/>
      <c r="J216" s="100"/>
    </row>
    <row r="217">
      <c r="B217" s="60">
        <v>211.0</v>
      </c>
      <c r="C217" s="85"/>
      <c r="D217" s="85"/>
      <c r="E217" s="85"/>
      <c r="F217" s="30"/>
      <c r="G217" s="30"/>
      <c r="H217" s="30"/>
      <c r="I217" s="30"/>
      <c r="J217" s="100"/>
    </row>
    <row r="218">
      <c r="B218" s="60">
        <v>212.0</v>
      </c>
      <c r="C218" s="85"/>
      <c r="D218" s="85"/>
      <c r="E218" s="85"/>
      <c r="F218" s="30"/>
      <c r="G218" s="30"/>
      <c r="H218" s="30"/>
      <c r="I218" s="30"/>
      <c r="J218" s="100"/>
    </row>
    <row r="219">
      <c r="B219" s="60">
        <v>213.0</v>
      </c>
      <c r="C219" s="85"/>
      <c r="D219" s="85"/>
      <c r="E219" s="85"/>
      <c r="F219" s="30"/>
      <c r="G219" s="30"/>
      <c r="H219" s="30"/>
      <c r="I219" s="30"/>
      <c r="J219" s="100"/>
    </row>
    <row r="220">
      <c r="B220" s="60">
        <v>214.0</v>
      </c>
      <c r="C220" s="85"/>
      <c r="D220" s="85"/>
      <c r="E220" s="85"/>
      <c r="F220" s="30"/>
      <c r="G220" s="30"/>
      <c r="H220" s="30"/>
      <c r="I220" s="30"/>
      <c r="J220" s="100"/>
    </row>
    <row r="221">
      <c r="B221" s="60">
        <v>215.0</v>
      </c>
      <c r="C221" s="85"/>
      <c r="D221" s="85"/>
      <c r="E221" s="85"/>
      <c r="F221" s="30"/>
      <c r="G221" s="30"/>
      <c r="H221" s="30"/>
      <c r="I221" s="30"/>
      <c r="J221" s="100"/>
    </row>
    <row r="222">
      <c r="B222" s="60">
        <v>216.0</v>
      </c>
      <c r="C222" s="85"/>
      <c r="D222" s="85"/>
      <c r="E222" s="85"/>
      <c r="F222" s="30"/>
      <c r="G222" s="30"/>
      <c r="H222" s="30"/>
      <c r="I222" s="30"/>
      <c r="J222" s="100"/>
    </row>
    <row r="223">
      <c r="B223" s="60">
        <v>217.0</v>
      </c>
      <c r="C223" s="85"/>
      <c r="D223" s="85"/>
      <c r="E223" s="85"/>
      <c r="F223" s="30"/>
      <c r="G223" s="30"/>
      <c r="H223" s="30"/>
      <c r="I223" s="30"/>
      <c r="J223" s="100"/>
    </row>
    <row r="224">
      <c r="B224" s="60">
        <v>218.0</v>
      </c>
      <c r="C224" s="85"/>
      <c r="D224" s="85"/>
      <c r="E224" s="85"/>
      <c r="F224" s="30"/>
      <c r="G224" s="30"/>
      <c r="H224" s="30"/>
      <c r="I224" s="30"/>
      <c r="J224" s="100"/>
    </row>
    <row r="225">
      <c r="B225" s="60">
        <v>219.0</v>
      </c>
      <c r="C225" s="85"/>
      <c r="D225" s="85"/>
      <c r="E225" s="85"/>
      <c r="F225" s="30"/>
      <c r="G225" s="30"/>
      <c r="H225" s="30"/>
      <c r="I225" s="30"/>
      <c r="J225" s="100"/>
    </row>
    <row r="226">
      <c r="B226" s="60">
        <v>220.0</v>
      </c>
      <c r="C226" s="85"/>
      <c r="D226" s="85"/>
      <c r="E226" s="85"/>
      <c r="F226" s="30"/>
      <c r="G226" s="30"/>
      <c r="H226" s="30"/>
      <c r="I226" s="30"/>
      <c r="J226" s="100"/>
    </row>
    <row r="227">
      <c r="B227" s="60">
        <v>221.0</v>
      </c>
      <c r="C227" s="85"/>
      <c r="D227" s="85"/>
      <c r="E227" s="85"/>
      <c r="F227" s="30"/>
      <c r="G227" s="30"/>
      <c r="H227" s="30"/>
      <c r="I227" s="30"/>
      <c r="J227" s="100"/>
    </row>
    <row r="228">
      <c r="B228" s="60">
        <v>222.0</v>
      </c>
      <c r="C228" s="85"/>
      <c r="D228" s="85"/>
      <c r="E228" s="85"/>
      <c r="F228" s="30"/>
      <c r="G228" s="30"/>
      <c r="H228" s="30"/>
      <c r="I228" s="30"/>
      <c r="J228" s="100"/>
    </row>
    <row r="229">
      <c r="B229" s="60">
        <v>223.0</v>
      </c>
      <c r="C229" s="85"/>
      <c r="D229" s="85"/>
      <c r="E229" s="85"/>
      <c r="F229" s="30"/>
      <c r="G229" s="30"/>
      <c r="H229" s="30"/>
      <c r="I229" s="30"/>
      <c r="J229" s="100"/>
    </row>
    <row r="230">
      <c r="B230" s="60">
        <v>224.0</v>
      </c>
      <c r="C230" s="85"/>
      <c r="D230" s="85"/>
      <c r="E230" s="85"/>
      <c r="F230" s="30"/>
      <c r="G230" s="30"/>
      <c r="H230" s="30"/>
      <c r="I230" s="30"/>
      <c r="J230" s="100"/>
    </row>
    <row r="231">
      <c r="B231" s="60">
        <v>225.0</v>
      </c>
      <c r="C231" s="85"/>
      <c r="D231" s="85"/>
      <c r="E231" s="85"/>
      <c r="F231" s="30"/>
      <c r="G231" s="30"/>
      <c r="H231" s="30"/>
      <c r="I231" s="30"/>
      <c r="J231" s="100"/>
    </row>
    <row r="232">
      <c r="B232" s="60">
        <v>226.0</v>
      </c>
      <c r="C232" s="85"/>
      <c r="D232" s="85"/>
      <c r="E232" s="85"/>
      <c r="F232" s="30"/>
      <c r="G232" s="30"/>
      <c r="H232" s="30"/>
      <c r="I232" s="30"/>
      <c r="J232" s="100"/>
    </row>
    <row r="233">
      <c r="B233" s="60">
        <v>227.0</v>
      </c>
      <c r="C233" s="85"/>
      <c r="D233" s="85"/>
      <c r="E233" s="85"/>
      <c r="F233" s="30"/>
      <c r="G233" s="30"/>
      <c r="H233" s="30"/>
      <c r="I233" s="30"/>
      <c r="J233" s="100"/>
    </row>
    <row r="234">
      <c r="B234" s="60">
        <v>228.0</v>
      </c>
      <c r="C234" s="85"/>
      <c r="D234" s="85"/>
      <c r="E234" s="85"/>
      <c r="F234" s="30"/>
      <c r="G234" s="30"/>
      <c r="H234" s="30"/>
      <c r="I234" s="30"/>
      <c r="J234" s="100"/>
    </row>
    <row r="235">
      <c r="B235" s="60">
        <v>229.0</v>
      </c>
      <c r="C235" s="85"/>
      <c r="D235" s="85"/>
      <c r="E235" s="85"/>
      <c r="F235" s="30"/>
      <c r="G235" s="30"/>
      <c r="H235" s="30"/>
      <c r="I235" s="30"/>
      <c r="J235" s="100"/>
    </row>
    <row r="236">
      <c r="B236" s="60">
        <v>230.0</v>
      </c>
      <c r="C236" s="85"/>
      <c r="D236" s="85"/>
      <c r="E236" s="85"/>
      <c r="F236" s="30"/>
      <c r="G236" s="30"/>
      <c r="H236" s="30"/>
      <c r="I236" s="30"/>
      <c r="J236" s="100"/>
    </row>
    <row r="237">
      <c r="B237" s="60">
        <v>231.0</v>
      </c>
      <c r="C237" s="85"/>
      <c r="D237" s="85"/>
      <c r="E237" s="85"/>
      <c r="F237" s="30"/>
      <c r="G237" s="30"/>
      <c r="H237" s="30"/>
      <c r="I237" s="30"/>
      <c r="J237" s="100"/>
    </row>
    <row r="238">
      <c r="B238" s="60">
        <v>232.0</v>
      </c>
      <c r="C238" s="85"/>
      <c r="D238" s="85"/>
      <c r="E238" s="85"/>
      <c r="F238" s="30"/>
      <c r="G238" s="30"/>
      <c r="H238" s="30"/>
      <c r="I238" s="30"/>
      <c r="J238" s="100"/>
    </row>
    <row r="239">
      <c r="B239" s="60">
        <v>233.0</v>
      </c>
      <c r="C239" s="85"/>
      <c r="D239" s="85"/>
      <c r="E239" s="85"/>
      <c r="F239" s="30"/>
      <c r="G239" s="30"/>
      <c r="H239" s="30"/>
      <c r="I239" s="30"/>
      <c r="J239" s="100"/>
    </row>
    <row r="240">
      <c r="B240" s="60">
        <v>234.0</v>
      </c>
      <c r="C240" s="85"/>
      <c r="D240" s="85"/>
      <c r="E240" s="85"/>
      <c r="F240" s="30"/>
      <c r="G240" s="30"/>
      <c r="H240" s="30"/>
      <c r="I240" s="30"/>
      <c r="J240" s="100"/>
    </row>
    <row r="241">
      <c r="B241" s="60">
        <v>235.0</v>
      </c>
      <c r="C241" s="85"/>
      <c r="D241" s="85"/>
      <c r="E241" s="85"/>
      <c r="F241" s="30"/>
      <c r="G241" s="30"/>
      <c r="H241" s="30"/>
      <c r="I241" s="30"/>
      <c r="J241" s="100"/>
    </row>
    <row r="242">
      <c r="B242" s="60">
        <v>236.0</v>
      </c>
      <c r="C242" s="85"/>
      <c r="D242" s="85"/>
      <c r="E242" s="85"/>
      <c r="F242" s="30"/>
      <c r="G242" s="30"/>
      <c r="H242" s="30"/>
      <c r="I242" s="30"/>
      <c r="J242" s="100"/>
    </row>
    <row r="243">
      <c r="B243" s="60">
        <v>237.0</v>
      </c>
      <c r="C243" s="85"/>
      <c r="D243" s="85"/>
      <c r="E243" s="85"/>
      <c r="F243" s="30"/>
      <c r="G243" s="30"/>
      <c r="H243" s="30"/>
      <c r="I243" s="30"/>
      <c r="J243" s="100"/>
    </row>
    <row r="244">
      <c r="B244" s="60">
        <v>238.0</v>
      </c>
      <c r="C244" s="85"/>
      <c r="D244" s="85"/>
      <c r="E244" s="85"/>
      <c r="F244" s="30"/>
      <c r="G244" s="30"/>
      <c r="H244" s="30"/>
      <c r="I244" s="30"/>
      <c r="J244" s="100"/>
    </row>
    <row r="245">
      <c r="B245" s="60">
        <v>239.0</v>
      </c>
      <c r="C245" s="85"/>
      <c r="D245" s="85"/>
      <c r="E245" s="85"/>
      <c r="F245" s="30"/>
      <c r="G245" s="30"/>
      <c r="H245" s="30"/>
      <c r="I245" s="30"/>
      <c r="J245" s="100"/>
    </row>
    <row r="246">
      <c r="B246" s="60">
        <v>240.0</v>
      </c>
      <c r="C246" s="85"/>
      <c r="D246" s="85"/>
      <c r="E246" s="85"/>
      <c r="F246" s="30"/>
      <c r="G246" s="30"/>
      <c r="H246" s="30"/>
      <c r="I246" s="30"/>
      <c r="J246" s="100"/>
    </row>
    <row r="247">
      <c r="B247" s="60">
        <v>241.0</v>
      </c>
      <c r="C247" s="85"/>
      <c r="D247" s="85"/>
      <c r="E247" s="85"/>
      <c r="F247" s="30"/>
      <c r="G247" s="30"/>
      <c r="H247" s="30"/>
      <c r="I247" s="30"/>
      <c r="J247" s="100"/>
    </row>
    <row r="248">
      <c r="B248" s="60">
        <v>242.0</v>
      </c>
      <c r="C248" s="85"/>
      <c r="D248" s="85"/>
      <c r="E248" s="85"/>
      <c r="F248" s="30"/>
      <c r="G248" s="30"/>
      <c r="H248" s="30"/>
      <c r="I248" s="30"/>
      <c r="J248" s="100"/>
    </row>
    <row r="249">
      <c r="B249" s="60">
        <v>243.0</v>
      </c>
      <c r="C249" s="85"/>
      <c r="D249" s="85"/>
      <c r="E249" s="85"/>
      <c r="F249" s="30"/>
      <c r="G249" s="30"/>
      <c r="H249" s="30"/>
      <c r="I249" s="30"/>
      <c r="J249" s="100"/>
    </row>
    <row r="250">
      <c r="B250" s="60">
        <v>244.0</v>
      </c>
      <c r="C250" s="85"/>
      <c r="D250" s="85"/>
      <c r="E250" s="85"/>
      <c r="F250" s="30"/>
      <c r="G250" s="30"/>
      <c r="H250" s="30"/>
      <c r="I250" s="30"/>
      <c r="J250" s="100"/>
    </row>
    <row r="251">
      <c r="B251" s="60">
        <v>245.0</v>
      </c>
      <c r="C251" s="85"/>
      <c r="D251" s="85"/>
      <c r="E251" s="85"/>
      <c r="F251" s="30"/>
      <c r="G251" s="30"/>
      <c r="H251" s="30"/>
      <c r="I251" s="30"/>
      <c r="J251" s="100"/>
    </row>
    <row r="252">
      <c r="B252" s="60">
        <v>246.0</v>
      </c>
      <c r="C252" s="85"/>
      <c r="D252" s="85"/>
      <c r="E252" s="85"/>
      <c r="F252" s="30"/>
      <c r="G252" s="30"/>
      <c r="H252" s="30"/>
      <c r="I252" s="30"/>
      <c r="J252" s="100"/>
    </row>
    <row r="253">
      <c r="B253" s="60">
        <v>247.0</v>
      </c>
      <c r="C253" s="85"/>
      <c r="D253" s="85"/>
      <c r="E253" s="85"/>
      <c r="F253" s="30"/>
      <c r="G253" s="30"/>
      <c r="H253" s="30"/>
      <c r="I253" s="30"/>
      <c r="J253" s="100"/>
    </row>
    <row r="254">
      <c r="B254" s="60">
        <v>248.0</v>
      </c>
      <c r="C254" s="85"/>
      <c r="D254" s="85"/>
      <c r="E254" s="85"/>
      <c r="F254" s="30"/>
      <c r="G254" s="30"/>
      <c r="H254" s="30"/>
      <c r="I254" s="30"/>
      <c r="J254" s="100"/>
    </row>
    <row r="255">
      <c r="B255" s="60">
        <v>249.0</v>
      </c>
      <c r="C255" s="85"/>
      <c r="D255" s="85"/>
      <c r="E255" s="85"/>
      <c r="F255" s="30"/>
      <c r="G255" s="30"/>
      <c r="H255" s="30"/>
      <c r="I255" s="30"/>
      <c r="J255" s="100"/>
    </row>
    <row r="256">
      <c r="B256" s="60">
        <v>250.0</v>
      </c>
      <c r="C256" s="85"/>
      <c r="D256" s="85"/>
      <c r="E256" s="85"/>
      <c r="F256" s="30"/>
      <c r="G256" s="30"/>
      <c r="H256" s="30"/>
      <c r="I256" s="30"/>
      <c r="J256" s="100"/>
    </row>
    <row r="257">
      <c r="B257" s="60">
        <v>251.0</v>
      </c>
      <c r="C257" s="85"/>
      <c r="D257" s="85"/>
      <c r="E257" s="85"/>
      <c r="F257" s="30"/>
      <c r="G257" s="30"/>
      <c r="H257" s="30"/>
      <c r="I257" s="30"/>
      <c r="J257" s="100"/>
    </row>
    <row r="258">
      <c r="B258" s="60">
        <v>252.0</v>
      </c>
      <c r="C258" s="85"/>
      <c r="D258" s="85"/>
      <c r="E258" s="85"/>
      <c r="F258" s="30"/>
      <c r="G258" s="30"/>
      <c r="H258" s="30"/>
      <c r="I258" s="30"/>
      <c r="J258" s="100"/>
    </row>
    <row r="259">
      <c r="B259" s="60">
        <v>253.0</v>
      </c>
      <c r="C259" s="85"/>
      <c r="D259" s="85"/>
      <c r="E259" s="85"/>
      <c r="F259" s="30"/>
      <c r="G259" s="30"/>
      <c r="H259" s="30"/>
      <c r="I259" s="30"/>
      <c r="J259" s="100"/>
    </row>
    <row r="260">
      <c r="B260" s="60">
        <v>254.0</v>
      </c>
      <c r="C260" s="85"/>
      <c r="D260" s="85"/>
      <c r="E260" s="85"/>
      <c r="F260" s="30"/>
      <c r="G260" s="30"/>
      <c r="H260" s="30"/>
      <c r="I260" s="30"/>
      <c r="J260" s="100"/>
    </row>
    <row r="261">
      <c r="B261" s="60">
        <v>255.0</v>
      </c>
      <c r="C261" s="85"/>
      <c r="D261" s="85"/>
      <c r="E261" s="85"/>
      <c r="F261" s="30"/>
      <c r="G261" s="30"/>
      <c r="H261" s="30"/>
      <c r="I261" s="30"/>
      <c r="J261" s="100"/>
    </row>
    <row r="262">
      <c r="B262" s="60">
        <v>256.0</v>
      </c>
      <c r="C262" s="85"/>
      <c r="D262" s="85"/>
      <c r="E262" s="85"/>
      <c r="F262" s="30"/>
      <c r="G262" s="30"/>
      <c r="H262" s="30"/>
      <c r="I262" s="30"/>
      <c r="J262" s="100"/>
    </row>
    <row r="263">
      <c r="B263" s="60">
        <v>257.0</v>
      </c>
      <c r="C263" s="85"/>
      <c r="D263" s="85"/>
      <c r="E263" s="85"/>
      <c r="F263" s="30"/>
      <c r="G263" s="30"/>
      <c r="H263" s="30"/>
      <c r="I263" s="30"/>
      <c r="J263" s="100"/>
    </row>
    <row r="264">
      <c r="B264" s="60">
        <v>258.0</v>
      </c>
      <c r="C264" s="85"/>
      <c r="D264" s="85"/>
      <c r="E264" s="85"/>
      <c r="F264" s="30"/>
      <c r="G264" s="30"/>
      <c r="H264" s="30"/>
      <c r="I264" s="30"/>
      <c r="J264" s="100"/>
    </row>
    <row r="265">
      <c r="B265" s="60">
        <v>259.0</v>
      </c>
      <c r="C265" s="85"/>
      <c r="D265" s="85"/>
      <c r="E265" s="85"/>
      <c r="F265" s="30"/>
      <c r="G265" s="30"/>
      <c r="H265" s="30"/>
      <c r="I265" s="30"/>
      <c r="J265" s="100"/>
    </row>
    <row r="266">
      <c r="B266" s="60">
        <v>260.0</v>
      </c>
      <c r="C266" s="85"/>
      <c r="D266" s="85"/>
      <c r="E266" s="85"/>
      <c r="F266" s="30"/>
      <c r="G266" s="30"/>
      <c r="H266" s="30"/>
      <c r="I266" s="30"/>
      <c r="J266" s="100"/>
    </row>
    <row r="267">
      <c r="B267" s="60">
        <v>261.0</v>
      </c>
      <c r="C267" s="85"/>
      <c r="D267" s="85"/>
      <c r="E267" s="85"/>
      <c r="F267" s="30"/>
      <c r="G267" s="30"/>
      <c r="H267" s="30"/>
      <c r="I267" s="30"/>
      <c r="J267" s="100"/>
    </row>
    <row r="268">
      <c r="B268" s="60">
        <v>262.0</v>
      </c>
      <c r="C268" s="85"/>
      <c r="D268" s="85"/>
      <c r="E268" s="85"/>
      <c r="F268" s="30"/>
      <c r="G268" s="30"/>
      <c r="H268" s="30"/>
      <c r="I268" s="30"/>
      <c r="J268" s="100"/>
    </row>
    <row r="269">
      <c r="B269" s="60">
        <v>263.0</v>
      </c>
      <c r="C269" s="85"/>
      <c r="D269" s="85"/>
      <c r="E269" s="85"/>
      <c r="F269" s="30"/>
      <c r="G269" s="30"/>
      <c r="H269" s="30"/>
      <c r="I269" s="30"/>
      <c r="J269" s="100"/>
    </row>
    <row r="270">
      <c r="B270" s="60">
        <v>264.0</v>
      </c>
      <c r="C270" s="85"/>
      <c r="D270" s="85"/>
      <c r="E270" s="85"/>
      <c r="F270" s="30"/>
      <c r="G270" s="30"/>
      <c r="H270" s="30"/>
      <c r="I270" s="30"/>
      <c r="J270" s="100"/>
    </row>
    <row r="271">
      <c r="B271" s="60">
        <v>265.0</v>
      </c>
      <c r="C271" s="85"/>
      <c r="D271" s="85"/>
      <c r="E271" s="85"/>
      <c r="F271" s="30"/>
      <c r="G271" s="30"/>
      <c r="H271" s="30"/>
      <c r="I271" s="30"/>
      <c r="J271" s="100"/>
    </row>
    <row r="272">
      <c r="B272" s="60">
        <v>266.0</v>
      </c>
      <c r="C272" s="85"/>
      <c r="D272" s="85"/>
      <c r="E272" s="85"/>
      <c r="F272" s="30"/>
      <c r="G272" s="30"/>
      <c r="H272" s="30"/>
      <c r="I272" s="30"/>
      <c r="J272" s="100"/>
    </row>
    <row r="273">
      <c r="B273" s="60">
        <v>267.0</v>
      </c>
      <c r="C273" s="85"/>
      <c r="D273" s="85"/>
      <c r="E273" s="85"/>
      <c r="F273" s="30"/>
      <c r="G273" s="30"/>
      <c r="H273" s="30"/>
      <c r="I273" s="30"/>
      <c r="J273" s="100"/>
    </row>
    <row r="274">
      <c r="B274" s="60">
        <v>268.0</v>
      </c>
      <c r="C274" s="85"/>
      <c r="D274" s="85"/>
      <c r="E274" s="85"/>
      <c r="F274" s="30"/>
      <c r="G274" s="30"/>
      <c r="H274" s="30"/>
      <c r="I274" s="30"/>
      <c r="J274" s="100"/>
    </row>
    <row r="275">
      <c r="B275" s="60">
        <v>269.0</v>
      </c>
      <c r="C275" s="85"/>
      <c r="D275" s="85"/>
      <c r="E275" s="85"/>
      <c r="F275" s="30"/>
      <c r="G275" s="30"/>
      <c r="H275" s="30"/>
      <c r="I275" s="30"/>
      <c r="J275" s="100"/>
    </row>
    <row r="276">
      <c r="B276" s="60">
        <v>270.0</v>
      </c>
      <c r="C276" s="85"/>
      <c r="D276" s="85"/>
      <c r="E276" s="85"/>
      <c r="F276" s="30"/>
      <c r="G276" s="30"/>
      <c r="H276" s="30"/>
      <c r="I276" s="30"/>
      <c r="J276" s="100"/>
    </row>
    <row r="277">
      <c r="B277" s="60">
        <v>271.0</v>
      </c>
      <c r="C277" s="85"/>
      <c r="D277" s="85"/>
      <c r="E277" s="85"/>
      <c r="F277" s="30"/>
      <c r="G277" s="30"/>
      <c r="H277" s="30"/>
      <c r="I277" s="30"/>
      <c r="J277" s="100"/>
    </row>
    <row r="278">
      <c r="B278" s="60">
        <v>272.0</v>
      </c>
      <c r="C278" s="85"/>
      <c r="D278" s="85"/>
      <c r="E278" s="85"/>
      <c r="F278" s="30"/>
      <c r="G278" s="30"/>
      <c r="H278" s="30"/>
      <c r="I278" s="30"/>
      <c r="J278" s="100"/>
    </row>
    <row r="279">
      <c r="B279" s="60">
        <v>273.0</v>
      </c>
      <c r="C279" s="85"/>
      <c r="D279" s="85"/>
      <c r="E279" s="85"/>
      <c r="F279" s="30"/>
      <c r="G279" s="30"/>
      <c r="H279" s="30"/>
      <c r="I279" s="30"/>
      <c r="J279" s="100"/>
    </row>
    <row r="280">
      <c r="B280" s="60">
        <v>274.0</v>
      </c>
      <c r="C280" s="85"/>
      <c r="D280" s="85"/>
      <c r="E280" s="85"/>
      <c r="F280" s="30"/>
      <c r="G280" s="30"/>
      <c r="H280" s="30"/>
      <c r="I280" s="30"/>
      <c r="J280" s="100"/>
    </row>
    <row r="281">
      <c r="B281" s="60">
        <v>275.0</v>
      </c>
      <c r="C281" s="85"/>
      <c r="D281" s="85"/>
      <c r="E281" s="85"/>
      <c r="F281" s="30"/>
      <c r="G281" s="30"/>
      <c r="H281" s="30"/>
      <c r="I281" s="30"/>
      <c r="J281" s="100"/>
    </row>
    <row r="282">
      <c r="B282" s="60">
        <v>276.0</v>
      </c>
      <c r="C282" s="85"/>
      <c r="D282" s="85"/>
      <c r="E282" s="85"/>
      <c r="F282" s="30"/>
      <c r="G282" s="30"/>
      <c r="H282" s="30"/>
      <c r="I282" s="30"/>
      <c r="J282" s="100"/>
    </row>
    <row r="283">
      <c r="B283" s="60">
        <v>277.0</v>
      </c>
      <c r="C283" s="85"/>
      <c r="D283" s="85"/>
      <c r="E283" s="85"/>
      <c r="F283" s="30"/>
      <c r="G283" s="30"/>
      <c r="H283" s="30"/>
      <c r="I283" s="30"/>
      <c r="J283" s="100"/>
    </row>
    <row r="284">
      <c r="B284" s="60">
        <v>278.0</v>
      </c>
      <c r="C284" s="85"/>
      <c r="D284" s="85"/>
      <c r="E284" s="85"/>
      <c r="F284" s="30"/>
      <c r="G284" s="30"/>
      <c r="H284" s="30"/>
      <c r="I284" s="30"/>
      <c r="J284" s="100"/>
    </row>
    <row r="285">
      <c r="B285" s="60">
        <v>279.0</v>
      </c>
      <c r="C285" s="85"/>
      <c r="D285" s="85"/>
      <c r="E285" s="85"/>
      <c r="F285" s="30"/>
      <c r="G285" s="30"/>
      <c r="H285" s="30"/>
      <c r="I285" s="30"/>
      <c r="J285" s="100"/>
    </row>
    <row r="286">
      <c r="B286" s="60">
        <v>280.0</v>
      </c>
      <c r="C286" s="85"/>
      <c r="D286" s="85"/>
      <c r="E286" s="85"/>
      <c r="F286" s="30"/>
      <c r="G286" s="30"/>
      <c r="H286" s="30"/>
      <c r="I286" s="30"/>
      <c r="J286" s="100"/>
    </row>
    <row r="287">
      <c r="B287" s="60">
        <v>281.0</v>
      </c>
      <c r="C287" s="85"/>
      <c r="D287" s="85"/>
      <c r="E287" s="85"/>
      <c r="F287" s="30"/>
      <c r="G287" s="30"/>
      <c r="H287" s="30"/>
      <c r="I287" s="30"/>
      <c r="J287" s="100"/>
    </row>
    <row r="288">
      <c r="B288" s="60">
        <v>282.0</v>
      </c>
      <c r="C288" s="85"/>
      <c r="D288" s="85"/>
      <c r="E288" s="85"/>
      <c r="F288" s="30"/>
      <c r="G288" s="30"/>
      <c r="H288" s="30"/>
      <c r="I288" s="30"/>
      <c r="J288" s="100"/>
    </row>
    <row r="289">
      <c r="B289" s="60">
        <v>283.0</v>
      </c>
      <c r="C289" s="85"/>
      <c r="D289" s="85"/>
      <c r="E289" s="85"/>
      <c r="F289" s="30"/>
      <c r="G289" s="30"/>
      <c r="H289" s="30"/>
      <c r="I289" s="30"/>
      <c r="J289" s="100"/>
    </row>
    <row r="290">
      <c r="B290" s="60">
        <v>284.0</v>
      </c>
      <c r="C290" s="85"/>
      <c r="D290" s="85"/>
      <c r="E290" s="85"/>
      <c r="F290" s="30"/>
      <c r="G290" s="30"/>
      <c r="H290" s="30"/>
      <c r="I290" s="30"/>
      <c r="J290" s="100"/>
    </row>
    <row r="291">
      <c r="B291" s="60">
        <v>285.0</v>
      </c>
      <c r="C291" s="85"/>
      <c r="D291" s="85"/>
      <c r="E291" s="85"/>
      <c r="F291" s="30"/>
      <c r="G291" s="30"/>
      <c r="H291" s="30"/>
      <c r="I291" s="30"/>
      <c r="J291" s="100"/>
    </row>
    <row r="292">
      <c r="B292" s="60">
        <v>286.0</v>
      </c>
      <c r="C292" s="85"/>
      <c r="D292" s="85"/>
      <c r="E292" s="85"/>
      <c r="F292" s="30"/>
      <c r="G292" s="30"/>
      <c r="H292" s="30"/>
      <c r="I292" s="30"/>
      <c r="J292" s="100"/>
    </row>
    <row r="293">
      <c r="B293" s="60">
        <v>287.0</v>
      </c>
      <c r="C293" s="85"/>
      <c r="D293" s="85"/>
      <c r="E293" s="85"/>
      <c r="F293" s="30"/>
      <c r="G293" s="30"/>
      <c r="H293" s="30"/>
      <c r="I293" s="30"/>
      <c r="J293" s="100"/>
    </row>
    <row r="294">
      <c r="B294" s="60">
        <v>288.0</v>
      </c>
      <c r="C294" s="85"/>
      <c r="D294" s="85"/>
      <c r="E294" s="85"/>
      <c r="F294" s="30"/>
      <c r="G294" s="30"/>
      <c r="H294" s="30"/>
      <c r="I294" s="30"/>
      <c r="J294" s="100"/>
    </row>
    <row r="295">
      <c r="B295" s="60">
        <v>289.0</v>
      </c>
      <c r="C295" s="85"/>
      <c r="D295" s="85"/>
      <c r="E295" s="85"/>
      <c r="F295" s="30"/>
      <c r="G295" s="30"/>
      <c r="H295" s="30"/>
      <c r="I295" s="30"/>
      <c r="J295" s="100"/>
    </row>
    <row r="296">
      <c r="B296" s="60">
        <v>290.0</v>
      </c>
      <c r="C296" s="85"/>
      <c r="D296" s="85"/>
      <c r="E296" s="85"/>
      <c r="F296" s="30"/>
      <c r="G296" s="30"/>
      <c r="H296" s="30"/>
      <c r="I296" s="30"/>
      <c r="J296" s="100"/>
    </row>
    <row r="297">
      <c r="B297" s="60">
        <v>291.0</v>
      </c>
      <c r="C297" s="85"/>
      <c r="D297" s="85"/>
      <c r="E297" s="85"/>
      <c r="F297" s="30"/>
      <c r="G297" s="30"/>
      <c r="H297" s="30"/>
      <c r="I297" s="30"/>
      <c r="J297" s="100"/>
    </row>
    <row r="298">
      <c r="B298" s="60">
        <v>292.0</v>
      </c>
      <c r="C298" s="85"/>
      <c r="D298" s="85"/>
      <c r="E298" s="85"/>
      <c r="F298" s="30"/>
      <c r="G298" s="30"/>
      <c r="H298" s="30"/>
      <c r="I298" s="30"/>
      <c r="J298" s="100"/>
    </row>
    <row r="299">
      <c r="B299" s="60">
        <v>293.0</v>
      </c>
      <c r="C299" s="85"/>
      <c r="D299" s="85"/>
      <c r="E299" s="85"/>
      <c r="F299" s="30"/>
      <c r="G299" s="30"/>
      <c r="H299" s="30"/>
      <c r="I299" s="30"/>
      <c r="J299" s="100"/>
    </row>
    <row r="300">
      <c r="B300" s="60">
        <v>294.0</v>
      </c>
      <c r="C300" s="85"/>
      <c r="D300" s="85"/>
      <c r="E300" s="85"/>
      <c r="F300" s="30"/>
      <c r="G300" s="30"/>
      <c r="H300" s="30"/>
      <c r="I300" s="30"/>
      <c r="J300" s="100"/>
    </row>
    <row r="301">
      <c r="B301" s="60">
        <v>295.0</v>
      </c>
      <c r="C301" s="85"/>
      <c r="D301" s="85"/>
      <c r="E301" s="85"/>
      <c r="F301" s="30"/>
      <c r="G301" s="30"/>
      <c r="H301" s="30"/>
      <c r="I301" s="30"/>
      <c r="J301" s="100"/>
    </row>
    <row r="302">
      <c r="B302" s="60">
        <v>296.0</v>
      </c>
      <c r="C302" s="85"/>
      <c r="D302" s="85"/>
      <c r="E302" s="85"/>
      <c r="F302" s="30"/>
      <c r="G302" s="30"/>
      <c r="H302" s="30"/>
      <c r="I302" s="30"/>
      <c r="J302" s="100"/>
    </row>
    <row r="303">
      <c r="B303" s="60">
        <v>297.0</v>
      </c>
      <c r="C303" s="85"/>
      <c r="D303" s="85"/>
      <c r="E303" s="85"/>
      <c r="F303" s="30"/>
      <c r="G303" s="30"/>
      <c r="H303" s="30"/>
      <c r="I303" s="30"/>
      <c r="J303" s="100"/>
    </row>
    <row r="304">
      <c r="B304" s="60">
        <v>298.0</v>
      </c>
      <c r="C304" s="85"/>
      <c r="D304" s="85"/>
      <c r="E304" s="85"/>
      <c r="F304" s="30"/>
      <c r="G304" s="30"/>
      <c r="H304" s="30"/>
      <c r="I304" s="30"/>
      <c r="J304" s="100"/>
    </row>
    <row r="305">
      <c r="B305" s="60">
        <v>299.0</v>
      </c>
      <c r="C305" s="85"/>
      <c r="D305" s="85"/>
      <c r="E305" s="85"/>
      <c r="F305" s="30"/>
      <c r="G305" s="30"/>
      <c r="H305" s="30"/>
      <c r="I305" s="30"/>
      <c r="J305" s="100"/>
    </row>
    <row r="306">
      <c r="B306" s="60">
        <v>300.0</v>
      </c>
      <c r="C306" s="85"/>
      <c r="D306" s="85"/>
      <c r="E306" s="85"/>
      <c r="F306" s="30"/>
      <c r="G306" s="30"/>
      <c r="H306" s="30"/>
      <c r="I306" s="30"/>
      <c r="J306" s="100"/>
    </row>
    <row r="307">
      <c r="B307" s="60">
        <v>301.0</v>
      </c>
      <c r="C307" s="85"/>
      <c r="D307" s="85"/>
      <c r="E307" s="85"/>
      <c r="F307" s="30"/>
      <c r="G307" s="30"/>
      <c r="H307" s="30"/>
      <c r="I307" s="30"/>
      <c r="J307" s="100"/>
    </row>
    <row r="308">
      <c r="B308" s="60">
        <v>302.0</v>
      </c>
      <c r="C308" s="85"/>
      <c r="D308" s="85"/>
      <c r="E308" s="85"/>
      <c r="F308" s="30"/>
      <c r="G308" s="30"/>
      <c r="H308" s="30"/>
      <c r="I308" s="30"/>
      <c r="J308" s="100"/>
    </row>
    <row r="309">
      <c r="B309" s="60">
        <v>303.0</v>
      </c>
      <c r="C309" s="85"/>
      <c r="D309" s="85"/>
      <c r="E309" s="85"/>
      <c r="F309" s="30"/>
      <c r="G309" s="30"/>
      <c r="H309" s="30"/>
      <c r="I309" s="30"/>
      <c r="J309" s="100"/>
    </row>
    <row r="310">
      <c r="B310" s="60">
        <v>304.0</v>
      </c>
      <c r="C310" s="85"/>
      <c r="D310" s="85"/>
      <c r="E310" s="85"/>
      <c r="F310" s="30"/>
      <c r="G310" s="30"/>
      <c r="H310" s="30"/>
      <c r="I310" s="30"/>
      <c r="J310" s="100"/>
    </row>
    <row r="311">
      <c r="B311" s="60">
        <v>305.0</v>
      </c>
      <c r="C311" s="85"/>
      <c r="D311" s="85"/>
      <c r="E311" s="85"/>
      <c r="F311" s="30"/>
      <c r="G311" s="30"/>
      <c r="H311" s="30"/>
      <c r="I311" s="30"/>
      <c r="J311" s="100"/>
    </row>
    <row r="312">
      <c r="B312" s="60">
        <v>306.0</v>
      </c>
      <c r="C312" s="85"/>
      <c r="D312" s="85"/>
      <c r="E312" s="85"/>
      <c r="F312" s="30"/>
      <c r="G312" s="30"/>
      <c r="H312" s="30"/>
      <c r="I312" s="30"/>
      <c r="J312" s="100"/>
    </row>
    <row r="313">
      <c r="B313" s="60">
        <v>307.0</v>
      </c>
      <c r="C313" s="85"/>
      <c r="D313" s="85"/>
      <c r="E313" s="85"/>
      <c r="F313" s="30"/>
      <c r="G313" s="30"/>
      <c r="H313" s="30"/>
      <c r="I313" s="30"/>
      <c r="J313" s="100"/>
    </row>
    <row r="314">
      <c r="B314" s="60">
        <v>308.0</v>
      </c>
      <c r="C314" s="85"/>
      <c r="D314" s="85"/>
      <c r="E314" s="85"/>
      <c r="F314" s="30"/>
      <c r="G314" s="30"/>
      <c r="H314" s="30"/>
      <c r="I314" s="30"/>
      <c r="J314" s="100"/>
    </row>
    <row r="315">
      <c r="B315" s="60">
        <v>309.0</v>
      </c>
      <c r="C315" s="85"/>
      <c r="D315" s="85"/>
      <c r="E315" s="85"/>
      <c r="F315" s="30"/>
      <c r="G315" s="30"/>
      <c r="H315" s="30"/>
      <c r="I315" s="30"/>
      <c r="J315" s="100"/>
    </row>
    <row r="316">
      <c r="B316" s="60">
        <v>310.0</v>
      </c>
      <c r="C316" s="85"/>
      <c r="D316" s="85"/>
      <c r="E316" s="85"/>
      <c r="F316" s="30"/>
      <c r="G316" s="30"/>
      <c r="H316" s="30"/>
      <c r="I316" s="30"/>
      <c r="J316" s="100"/>
    </row>
    <row r="317">
      <c r="B317" s="60">
        <v>311.0</v>
      </c>
      <c r="C317" s="85"/>
      <c r="D317" s="85"/>
      <c r="E317" s="85"/>
      <c r="F317" s="30"/>
      <c r="G317" s="30"/>
      <c r="H317" s="30"/>
      <c r="I317" s="30"/>
      <c r="J317" s="100"/>
    </row>
    <row r="318">
      <c r="B318" s="60">
        <v>312.0</v>
      </c>
      <c r="C318" s="85"/>
      <c r="D318" s="85"/>
      <c r="E318" s="85"/>
      <c r="F318" s="30"/>
      <c r="G318" s="30"/>
      <c r="H318" s="30"/>
      <c r="I318" s="30"/>
      <c r="J318" s="100"/>
    </row>
    <row r="319">
      <c r="B319" s="60">
        <v>313.0</v>
      </c>
      <c r="C319" s="85"/>
      <c r="D319" s="85"/>
      <c r="E319" s="85"/>
      <c r="F319" s="30"/>
      <c r="G319" s="30"/>
      <c r="H319" s="30"/>
      <c r="I319" s="30"/>
      <c r="J319" s="100"/>
    </row>
    <row r="320">
      <c r="B320" s="60">
        <v>314.0</v>
      </c>
      <c r="C320" s="85"/>
      <c r="D320" s="85"/>
      <c r="E320" s="85"/>
      <c r="F320" s="30"/>
      <c r="G320" s="30"/>
      <c r="H320" s="30"/>
      <c r="I320" s="30"/>
      <c r="J320" s="100"/>
    </row>
    <row r="321">
      <c r="B321" s="60">
        <v>315.0</v>
      </c>
      <c r="C321" s="85"/>
      <c r="D321" s="85"/>
      <c r="E321" s="85"/>
      <c r="F321" s="30"/>
      <c r="G321" s="30"/>
      <c r="H321" s="30"/>
      <c r="I321" s="30"/>
      <c r="J321" s="100"/>
    </row>
    <row r="322">
      <c r="B322" s="60">
        <v>316.0</v>
      </c>
      <c r="C322" s="85"/>
      <c r="D322" s="85"/>
      <c r="E322" s="85"/>
      <c r="F322" s="30"/>
      <c r="G322" s="30"/>
      <c r="H322" s="30"/>
      <c r="I322" s="30"/>
      <c r="J322" s="100"/>
    </row>
    <row r="323">
      <c r="B323" s="60">
        <v>317.0</v>
      </c>
      <c r="C323" s="85"/>
      <c r="D323" s="85"/>
      <c r="E323" s="85"/>
      <c r="F323" s="30"/>
      <c r="G323" s="30"/>
      <c r="H323" s="30"/>
      <c r="I323" s="30"/>
      <c r="J323" s="100"/>
    </row>
    <row r="324">
      <c r="B324" s="60">
        <v>318.0</v>
      </c>
      <c r="C324" s="85"/>
      <c r="D324" s="85"/>
      <c r="E324" s="85"/>
      <c r="F324" s="30"/>
      <c r="G324" s="30"/>
      <c r="H324" s="30"/>
      <c r="I324" s="30"/>
      <c r="J324" s="100"/>
    </row>
    <row r="325">
      <c r="B325" s="60">
        <v>319.0</v>
      </c>
      <c r="C325" s="85"/>
      <c r="D325" s="85"/>
      <c r="E325" s="85"/>
      <c r="F325" s="30"/>
      <c r="G325" s="30"/>
      <c r="H325" s="30"/>
      <c r="I325" s="30"/>
      <c r="J325" s="100"/>
    </row>
    <row r="326">
      <c r="B326" s="60">
        <v>320.0</v>
      </c>
      <c r="C326" s="85"/>
      <c r="D326" s="85"/>
      <c r="E326" s="85"/>
      <c r="F326" s="30"/>
      <c r="G326" s="30"/>
      <c r="H326" s="30"/>
      <c r="I326" s="30"/>
      <c r="J326" s="100"/>
    </row>
    <row r="327">
      <c r="B327" s="60">
        <v>321.0</v>
      </c>
      <c r="C327" s="85"/>
      <c r="D327" s="85"/>
      <c r="E327" s="85"/>
      <c r="F327" s="30"/>
      <c r="G327" s="30"/>
      <c r="H327" s="30"/>
      <c r="I327" s="30"/>
      <c r="J327" s="100"/>
    </row>
    <row r="328">
      <c r="B328" s="60">
        <v>322.0</v>
      </c>
      <c r="C328" s="85"/>
      <c r="D328" s="85"/>
      <c r="E328" s="85"/>
      <c r="F328" s="30"/>
      <c r="G328" s="30"/>
      <c r="H328" s="30"/>
      <c r="I328" s="30"/>
      <c r="J328" s="100"/>
    </row>
    <row r="329">
      <c r="B329" s="60">
        <v>323.0</v>
      </c>
      <c r="C329" s="85"/>
      <c r="D329" s="85"/>
      <c r="E329" s="85"/>
      <c r="F329" s="30"/>
      <c r="G329" s="30"/>
      <c r="H329" s="30"/>
      <c r="I329" s="30"/>
      <c r="J329" s="100"/>
    </row>
    <row r="330">
      <c r="B330" s="60">
        <v>324.0</v>
      </c>
      <c r="C330" s="85"/>
      <c r="D330" s="85"/>
      <c r="E330" s="85"/>
      <c r="F330" s="30"/>
      <c r="G330" s="30"/>
      <c r="H330" s="30"/>
      <c r="I330" s="30"/>
      <c r="J330" s="100"/>
    </row>
    <row r="331">
      <c r="B331" s="60">
        <v>325.0</v>
      </c>
      <c r="C331" s="85"/>
      <c r="D331" s="85"/>
      <c r="E331" s="85"/>
      <c r="F331" s="30"/>
      <c r="G331" s="30"/>
      <c r="H331" s="30"/>
      <c r="I331" s="30"/>
      <c r="J331" s="100"/>
    </row>
    <row r="332">
      <c r="B332" s="60">
        <v>326.0</v>
      </c>
      <c r="C332" s="85"/>
      <c r="D332" s="85"/>
      <c r="E332" s="85"/>
      <c r="F332" s="30"/>
      <c r="G332" s="30"/>
      <c r="H332" s="30"/>
      <c r="I332" s="30"/>
      <c r="J332" s="100"/>
    </row>
    <row r="333">
      <c r="B333" s="60">
        <v>327.0</v>
      </c>
      <c r="C333" s="85"/>
      <c r="D333" s="85"/>
      <c r="E333" s="85"/>
      <c r="F333" s="30"/>
      <c r="G333" s="30"/>
      <c r="H333" s="30"/>
      <c r="I333" s="30"/>
      <c r="J333" s="100"/>
    </row>
    <row r="334">
      <c r="B334" s="60">
        <v>328.0</v>
      </c>
      <c r="C334" s="85"/>
      <c r="D334" s="85"/>
      <c r="E334" s="85"/>
      <c r="F334" s="30"/>
      <c r="G334" s="30"/>
      <c r="H334" s="30"/>
      <c r="I334" s="30"/>
      <c r="J334" s="100"/>
    </row>
    <row r="335">
      <c r="B335" s="60">
        <v>329.0</v>
      </c>
      <c r="C335" s="85"/>
      <c r="D335" s="85"/>
      <c r="E335" s="85"/>
      <c r="F335" s="30"/>
      <c r="G335" s="30"/>
      <c r="H335" s="30"/>
      <c r="I335" s="30"/>
      <c r="J335" s="100"/>
    </row>
    <row r="336">
      <c r="B336" s="60">
        <v>330.0</v>
      </c>
      <c r="C336" s="85"/>
      <c r="D336" s="85"/>
      <c r="E336" s="85"/>
      <c r="F336" s="30"/>
      <c r="G336" s="30"/>
      <c r="H336" s="30"/>
      <c r="I336" s="30"/>
      <c r="J336" s="100"/>
    </row>
    <row r="337">
      <c r="B337" s="60">
        <v>331.0</v>
      </c>
      <c r="C337" s="85"/>
      <c r="D337" s="85"/>
      <c r="E337" s="85"/>
      <c r="F337" s="30"/>
      <c r="G337" s="30"/>
      <c r="H337" s="30"/>
      <c r="I337" s="30"/>
      <c r="J337" s="100"/>
    </row>
    <row r="338">
      <c r="B338" s="60">
        <v>332.0</v>
      </c>
      <c r="C338" s="85"/>
      <c r="D338" s="85"/>
      <c r="E338" s="85"/>
      <c r="F338" s="30"/>
      <c r="G338" s="30"/>
      <c r="H338" s="30"/>
      <c r="I338" s="30"/>
      <c r="J338" s="100"/>
    </row>
    <row r="339">
      <c r="B339" s="60">
        <v>333.0</v>
      </c>
      <c r="C339" s="85"/>
      <c r="D339" s="85"/>
      <c r="E339" s="85"/>
      <c r="F339" s="30"/>
      <c r="G339" s="30"/>
      <c r="H339" s="30"/>
      <c r="I339" s="30"/>
      <c r="J339" s="100"/>
    </row>
    <row r="340">
      <c r="B340" s="60">
        <v>334.0</v>
      </c>
      <c r="C340" s="85"/>
      <c r="D340" s="85"/>
      <c r="E340" s="85"/>
      <c r="F340" s="30"/>
      <c r="G340" s="30"/>
      <c r="H340" s="30"/>
      <c r="I340" s="30"/>
      <c r="J340" s="100"/>
    </row>
    <row r="341">
      <c r="B341" s="60">
        <v>335.0</v>
      </c>
      <c r="C341" s="85"/>
      <c r="D341" s="85"/>
      <c r="E341" s="85"/>
      <c r="F341" s="30"/>
      <c r="G341" s="30"/>
      <c r="H341" s="30"/>
      <c r="I341" s="30"/>
      <c r="J341" s="100"/>
    </row>
    <row r="342">
      <c r="B342" s="60">
        <v>336.0</v>
      </c>
      <c r="C342" s="85"/>
      <c r="D342" s="85"/>
      <c r="E342" s="85"/>
      <c r="F342" s="30"/>
      <c r="G342" s="30"/>
      <c r="H342" s="30"/>
      <c r="I342" s="30"/>
      <c r="J342" s="100"/>
    </row>
    <row r="343">
      <c r="B343" s="60">
        <v>337.0</v>
      </c>
      <c r="C343" s="85"/>
      <c r="D343" s="85"/>
      <c r="E343" s="85"/>
      <c r="F343" s="30"/>
      <c r="G343" s="30"/>
      <c r="H343" s="30"/>
      <c r="I343" s="30"/>
      <c r="J343" s="100"/>
    </row>
    <row r="344">
      <c r="B344" s="60">
        <v>338.0</v>
      </c>
      <c r="C344" s="85"/>
      <c r="D344" s="85"/>
      <c r="E344" s="85"/>
      <c r="F344" s="30"/>
      <c r="G344" s="30"/>
      <c r="H344" s="30"/>
      <c r="I344" s="30"/>
      <c r="J344" s="100"/>
    </row>
    <row r="345">
      <c r="B345" s="60">
        <v>339.0</v>
      </c>
      <c r="C345" s="85"/>
      <c r="D345" s="85"/>
      <c r="E345" s="85"/>
      <c r="F345" s="30"/>
      <c r="G345" s="30"/>
      <c r="H345" s="30"/>
      <c r="I345" s="30"/>
      <c r="J345" s="100"/>
    </row>
    <row r="346">
      <c r="B346" s="60">
        <v>340.0</v>
      </c>
      <c r="C346" s="85"/>
      <c r="D346" s="85"/>
      <c r="E346" s="85"/>
      <c r="F346" s="30"/>
      <c r="G346" s="30"/>
      <c r="H346" s="30"/>
      <c r="I346" s="30"/>
      <c r="J346" s="100"/>
    </row>
    <row r="347">
      <c r="B347" s="60">
        <v>341.0</v>
      </c>
      <c r="C347" s="85"/>
      <c r="D347" s="85"/>
      <c r="E347" s="85"/>
      <c r="F347" s="30"/>
      <c r="G347" s="30"/>
      <c r="H347" s="30"/>
      <c r="I347" s="30"/>
      <c r="J347" s="100"/>
    </row>
    <row r="348">
      <c r="B348" s="60">
        <v>342.0</v>
      </c>
      <c r="C348" s="85"/>
      <c r="D348" s="85"/>
      <c r="E348" s="85"/>
      <c r="F348" s="30"/>
      <c r="G348" s="30"/>
      <c r="H348" s="30"/>
      <c r="I348" s="30"/>
      <c r="J348" s="100"/>
    </row>
    <row r="349">
      <c r="B349" s="60">
        <v>343.0</v>
      </c>
      <c r="C349" s="85"/>
      <c r="D349" s="85"/>
      <c r="E349" s="85"/>
      <c r="F349" s="30"/>
      <c r="G349" s="30"/>
      <c r="H349" s="30"/>
      <c r="I349" s="30"/>
      <c r="J349" s="100"/>
    </row>
    <row r="350">
      <c r="B350" s="60">
        <v>344.0</v>
      </c>
      <c r="C350" s="85"/>
      <c r="D350" s="85"/>
      <c r="E350" s="85"/>
      <c r="F350" s="30"/>
      <c r="G350" s="30"/>
      <c r="H350" s="30"/>
      <c r="I350" s="30"/>
      <c r="J350" s="100"/>
    </row>
    <row r="351">
      <c r="B351" s="60">
        <v>345.0</v>
      </c>
      <c r="C351" s="85"/>
      <c r="D351" s="85"/>
      <c r="E351" s="85"/>
      <c r="F351" s="30"/>
      <c r="G351" s="30"/>
      <c r="H351" s="30"/>
      <c r="I351" s="30"/>
      <c r="J351" s="100"/>
    </row>
    <row r="352">
      <c r="B352" s="60">
        <v>346.0</v>
      </c>
      <c r="C352" s="85"/>
      <c r="D352" s="85"/>
      <c r="E352" s="85"/>
      <c r="F352" s="30"/>
      <c r="G352" s="30"/>
      <c r="H352" s="30"/>
      <c r="I352" s="30"/>
      <c r="J352" s="100"/>
    </row>
    <row r="353">
      <c r="B353" s="60">
        <v>347.0</v>
      </c>
      <c r="C353" s="85"/>
      <c r="D353" s="85"/>
      <c r="E353" s="85"/>
      <c r="F353" s="30"/>
      <c r="G353" s="30"/>
      <c r="H353" s="30"/>
      <c r="I353" s="30"/>
      <c r="J353" s="100"/>
    </row>
    <row r="354">
      <c r="B354" s="60">
        <v>348.0</v>
      </c>
      <c r="C354" s="85"/>
      <c r="D354" s="85"/>
      <c r="E354" s="85"/>
      <c r="F354" s="30"/>
      <c r="G354" s="30"/>
      <c r="H354" s="30"/>
      <c r="I354" s="30"/>
      <c r="J354" s="100"/>
    </row>
    <row r="355">
      <c r="B355" s="60">
        <v>349.0</v>
      </c>
      <c r="C355" s="85"/>
      <c r="D355" s="85"/>
      <c r="E355" s="85"/>
      <c r="F355" s="30"/>
      <c r="G355" s="30"/>
      <c r="H355" s="30"/>
      <c r="I355" s="30"/>
      <c r="J355" s="100"/>
    </row>
    <row r="356">
      <c r="B356" s="60">
        <v>350.0</v>
      </c>
      <c r="C356" s="85"/>
      <c r="D356" s="85"/>
      <c r="E356" s="85"/>
      <c r="F356" s="30"/>
      <c r="G356" s="30"/>
      <c r="H356" s="30"/>
      <c r="I356" s="30"/>
      <c r="J356" s="100"/>
    </row>
    <row r="357">
      <c r="B357" s="60">
        <v>351.0</v>
      </c>
      <c r="C357" s="85"/>
      <c r="D357" s="85"/>
      <c r="E357" s="85"/>
      <c r="F357" s="30"/>
      <c r="G357" s="30"/>
      <c r="H357" s="30"/>
      <c r="I357" s="30"/>
      <c r="J357" s="100"/>
    </row>
    <row r="358">
      <c r="B358" s="60">
        <v>352.0</v>
      </c>
      <c r="C358" s="85"/>
      <c r="D358" s="85"/>
      <c r="E358" s="85"/>
      <c r="F358" s="30"/>
      <c r="G358" s="30"/>
      <c r="H358" s="30"/>
      <c r="I358" s="30"/>
      <c r="J358" s="100"/>
    </row>
    <row r="359">
      <c r="B359" s="60">
        <v>353.0</v>
      </c>
      <c r="C359" s="85"/>
      <c r="D359" s="85"/>
      <c r="E359" s="85"/>
      <c r="F359" s="30"/>
      <c r="G359" s="30"/>
      <c r="H359" s="30"/>
      <c r="I359" s="30"/>
      <c r="J359" s="100"/>
    </row>
    <row r="360">
      <c r="B360" s="60">
        <v>354.0</v>
      </c>
      <c r="C360" s="85"/>
      <c r="D360" s="85"/>
      <c r="E360" s="85"/>
      <c r="F360" s="30"/>
      <c r="G360" s="30"/>
      <c r="H360" s="30"/>
      <c r="I360" s="30"/>
      <c r="J360" s="100"/>
    </row>
    <row r="361">
      <c r="B361" s="60">
        <v>355.0</v>
      </c>
      <c r="C361" s="85"/>
      <c r="D361" s="85"/>
      <c r="E361" s="85"/>
      <c r="F361" s="30"/>
      <c r="G361" s="30"/>
      <c r="H361" s="30"/>
      <c r="I361" s="30"/>
      <c r="J361" s="100"/>
    </row>
    <row r="362">
      <c r="B362" s="60">
        <v>356.0</v>
      </c>
      <c r="C362" s="85"/>
      <c r="D362" s="85"/>
      <c r="E362" s="85"/>
      <c r="F362" s="30"/>
      <c r="G362" s="30"/>
      <c r="H362" s="30"/>
      <c r="I362" s="30"/>
      <c r="J362" s="100"/>
    </row>
    <row r="363">
      <c r="B363" s="60">
        <v>357.0</v>
      </c>
      <c r="C363" s="85"/>
      <c r="D363" s="85"/>
      <c r="E363" s="85"/>
      <c r="F363" s="30"/>
      <c r="G363" s="30"/>
      <c r="H363" s="30"/>
      <c r="I363" s="30"/>
      <c r="J363" s="100"/>
    </row>
    <row r="364">
      <c r="B364" s="60">
        <v>358.0</v>
      </c>
      <c r="C364" s="85"/>
      <c r="D364" s="85"/>
      <c r="E364" s="85"/>
      <c r="F364" s="30"/>
      <c r="G364" s="30"/>
      <c r="H364" s="30"/>
      <c r="I364" s="30"/>
      <c r="J364" s="100"/>
    </row>
    <row r="365">
      <c r="B365" s="60">
        <v>359.0</v>
      </c>
      <c r="C365" s="85"/>
      <c r="D365" s="85"/>
      <c r="E365" s="85"/>
      <c r="F365" s="30"/>
      <c r="G365" s="30"/>
      <c r="H365" s="30"/>
      <c r="I365" s="30"/>
      <c r="J365" s="100"/>
    </row>
    <row r="366">
      <c r="B366" s="60">
        <v>360.0</v>
      </c>
      <c r="C366" s="85"/>
      <c r="D366" s="85"/>
      <c r="E366" s="85"/>
      <c r="F366" s="30"/>
      <c r="G366" s="30"/>
      <c r="H366" s="30"/>
      <c r="I366" s="30"/>
      <c r="J366" s="100"/>
    </row>
    <row r="367">
      <c r="B367" s="60">
        <v>361.0</v>
      </c>
      <c r="C367" s="85"/>
      <c r="D367" s="85"/>
      <c r="E367" s="85"/>
      <c r="F367" s="30"/>
      <c r="G367" s="30"/>
      <c r="H367" s="30"/>
      <c r="I367" s="30"/>
      <c r="J367" s="100"/>
    </row>
    <row r="368">
      <c r="B368" s="60">
        <v>362.0</v>
      </c>
      <c r="C368" s="85"/>
      <c r="D368" s="85"/>
      <c r="E368" s="85"/>
      <c r="F368" s="30"/>
      <c r="G368" s="30"/>
      <c r="H368" s="30"/>
      <c r="I368" s="30"/>
      <c r="J368" s="100"/>
    </row>
    <row r="369">
      <c r="B369" s="60">
        <v>363.0</v>
      </c>
      <c r="C369" s="85"/>
      <c r="D369" s="85"/>
      <c r="E369" s="85"/>
      <c r="F369" s="30"/>
      <c r="G369" s="30"/>
      <c r="H369" s="30"/>
      <c r="I369" s="30"/>
      <c r="J369" s="100"/>
    </row>
    <row r="370">
      <c r="B370" s="60">
        <v>364.0</v>
      </c>
      <c r="C370" s="85"/>
      <c r="D370" s="85"/>
      <c r="E370" s="85"/>
      <c r="F370" s="30"/>
      <c r="G370" s="30"/>
      <c r="H370" s="30"/>
      <c r="I370" s="30"/>
      <c r="J370" s="100"/>
    </row>
    <row r="371">
      <c r="B371" s="60">
        <v>365.0</v>
      </c>
      <c r="C371" s="85"/>
      <c r="D371" s="85"/>
      <c r="E371" s="85"/>
      <c r="F371" s="30"/>
      <c r="G371" s="30"/>
      <c r="H371" s="30"/>
      <c r="I371" s="30"/>
      <c r="J371" s="100"/>
    </row>
    <row r="372">
      <c r="B372" s="60">
        <v>366.0</v>
      </c>
      <c r="C372" s="85"/>
      <c r="D372" s="85"/>
      <c r="E372" s="85"/>
      <c r="F372" s="30"/>
      <c r="G372" s="30"/>
      <c r="H372" s="30"/>
      <c r="I372" s="30"/>
      <c r="J372" s="100"/>
    </row>
    <row r="373">
      <c r="B373" s="60">
        <v>367.0</v>
      </c>
      <c r="C373" s="85"/>
      <c r="D373" s="85"/>
      <c r="E373" s="85"/>
      <c r="F373" s="30"/>
      <c r="G373" s="30"/>
      <c r="H373" s="30"/>
      <c r="I373" s="30"/>
      <c r="J373" s="100"/>
    </row>
    <row r="374">
      <c r="B374" s="60">
        <v>368.0</v>
      </c>
      <c r="C374" s="85"/>
      <c r="D374" s="85"/>
      <c r="E374" s="85"/>
      <c r="F374" s="30"/>
      <c r="G374" s="30"/>
      <c r="H374" s="30"/>
      <c r="I374" s="30"/>
      <c r="J374" s="100"/>
    </row>
    <row r="375">
      <c r="B375" s="60">
        <v>369.0</v>
      </c>
      <c r="C375" s="85"/>
      <c r="D375" s="85"/>
      <c r="E375" s="85"/>
      <c r="F375" s="30"/>
      <c r="G375" s="30"/>
      <c r="H375" s="30"/>
      <c r="I375" s="30"/>
      <c r="J375" s="100"/>
    </row>
    <row r="376">
      <c r="B376" s="60">
        <v>370.0</v>
      </c>
      <c r="C376" s="85"/>
      <c r="D376" s="85"/>
      <c r="E376" s="85"/>
      <c r="F376" s="30"/>
      <c r="G376" s="30"/>
      <c r="H376" s="30"/>
      <c r="I376" s="30"/>
      <c r="J376" s="100"/>
    </row>
    <row r="377">
      <c r="B377" s="60">
        <v>371.0</v>
      </c>
      <c r="C377" s="85"/>
      <c r="D377" s="85"/>
      <c r="E377" s="85"/>
      <c r="F377" s="30"/>
      <c r="G377" s="30"/>
      <c r="H377" s="30"/>
      <c r="I377" s="30"/>
      <c r="J377" s="100"/>
    </row>
    <row r="378">
      <c r="B378" s="60">
        <v>372.0</v>
      </c>
      <c r="C378" s="85"/>
      <c r="D378" s="85"/>
      <c r="E378" s="85"/>
      <c r="F378" s="30"/>
      <c r="G378" s="30"/>
      <c r="H378" s="30"/>
      <c r="I378" s="30"/>
      <c r="J378" s="100"/>
    </row>
    <row r="379">
      <c r="B379" s="60">
        <v>373.0</v>
      </c>
      <c r="C379" s="85"/>
      <c r="D379" s="85"/>
      <c r="E379" s="85"/>
      <c r="F379" s="30"/>
      <c r="G379" s="30"/>
      <c r="H379" s="30"/>
      <c r="I379" s="30"/>
      <c r="J379" s="100"/>
    </row>
    <row r="380">
      <c r="B380" s="60">
        <v>374.0</v>
      </c>
      <c r="C380" s="85"/>
      <c r="D380" s="85"/>
      <c r="E380" s="85"/>
      <c r="F380" s="30"/>
      <c r="G380" s="30"/>
      <c r="H380" s="30"/>
      <c r="I380" s="30"/>
      <c r="J380" s="100"/>
    </row>
    <row r="381">
      <c r="B381" s="60">
        <v>375.0</v>
      </c>
      <c r="C381" s="85"/>
      <c r="D381" s="85"/>
      <c r="E381" s="85"/>
      <c r="F381" s="30"/>
      <c r="G381" s="30"/>
      <c r="H381" s="30"/>
      <c r="I381" s="30"/>
      <c r="J381" s="100"/>
    </row>
    <row r="382">
      <c r="B382" s="60">
        <v>376.0</v>
      </c>
      <c r="C382" s="85"/>
      <c r="D382" s="85"/>
      <c r="E382" s="85"/>
      <c r="F382" s="30"/>
      <c r="G382" s="30"/>
      <c r="H382" s="30"/>
      <c r="I382" s="30"/>
      <c r="J382" s="100"/>
    </row>
    <row r="383">
      <c r="B383" s="60">
        <v>377.0</v>
      </c>
      <c r="C383" s="85"/>
      <c r="D383" s="85"/>
      <c r="E383" s="85"/>
      <c r="F383" s="30"/>
      <c r="G383" s="30"/>
      <c r="H383" s="30"/>
      <c r="I383" s="30"/>
      <c r="J383" s="100"/>
    </row>
    <row r="384">
      <c r="B384" s="60">
        <v>378.0</v>
      </c>
      <c r="C384" s="85"/>
      <c r="D384" s="85"/>
      <c r="E384" s="85"/>
      <c r="F384" s="30"/>
      <c r="G384" s="30"/>
      <c r="H384" s="30"/>
      <c r="I384" s="30"/>
      <c r="J384" s="100"/>
    </row>
    <row r="385">
      <c r="B385" s="60">
        <v>379.0</v>
      </c>
      <c r="C385" s="85"/>
      <c r="D385" s="85"/>
      <c r="E385" s="85"/>
      <c r="F385" s="30"/>
      <c r="G385" s="30"/>
      <c r="H385" s="30"/>
      <c r="I385" s="30"/>
      <c r="J385" s="100"/>
    </row>
    <row r="386">
      <c r="B386" s="60">
        <v>380.0</v>
      </c>
      <c r="C386" s="85"/>
      <c r="D386" s="85"/>
      <c r="E386" s="85"/>
      <c r="F386" s="30"/>
      <c r="G386" s="30"/>
      <c r="H386" s="30"/>
      <c r="I386" s="30"/>
      <c r="J386" s="100"/>
    </row>
    <row r="387">
      <c r="B387" s="60">
        <v>381.0</v>
      </c>
      <c r="C387" s="85"/>
      <c r="D387" s="85"/>
      <c r="E387" s="85"/>
      <c r="F387" s="30"/>
      <c r="G387" s="30"/>
      <c r="H387" s="30"/>
      <c r="I387" s="30"/>
      <c r="J387" s="100"/>
    </row>
    <row r="388">
      <c r="B388" s="60">
        <v>382.0</v>
      </c>
      <c r="C388" s="85"/>
      <c r="D388" s="85"/>
      <c r="E388" s="85"/>
      <c r="F388" s="30"/>
      <c r="G388" s="30"/>
      <c r="H388" s="30"/>
      <c r="I388" s="30"/>
      <c r="J388" s="100"/>
    </row>
    <row r="389">
      <c r="B389" s="60">
        <v>383.0</v>
      </c>
      <c r="C389" s="85"/>
      <c r="D389" s="85"/>
      <c r="E389" s="85"/>
      <c r="F389" s="30"/>
      <c r="G389" s="30"/>
      <c r="H389" s="30"/>
      <c r="I389" s="30"/>
      <c r="J389" s="100"/>
    </row>
    <row r="390">
      <c r="B390" s="60">
        <v>384.0</v>
      </c>
      <c r="C390" s="85"/>
      <c r="D390" s="85"/>
      <c r="E390" s="85"/>
      <c r="F390" s="30"/>
      <c r="G390" s="30"/>
      <c r="H390" s="30"/>
      <c r="I390" s="30"/>
      <c r="J390" s="100"/>
    </row>
    <row r="391">
      <c r="B391" s="60">
        <v>385.0</v>
      </c>
      <c r="C391" s="85"/>
      <c r="D391" s="85"/>
      <c r="E391" s="85"/>
      <c r="F391" s="30"/>
      <c r="G391" s="30"/>
      <c r="H391" s="30"/>
      <c r="I391" s="30"/>
      <c r="J391" s="100"/>
    </row>
    <row r="392">
      <c r="B392" s="60">
        <v>386.0</v>
      </c>
      <c r="C392" s="85"/>
      <c r="D392" s="85"/>
      <c r="E392" s="85"/>
      <c r="F392" s="30"/>
      <c r="G392" s="30"/>
      <c r="H392" s="30"/>
      <c r="I392" s="30"/>
      <c r="J392" s="100"/>
    </row>
    <row r="393">
      <c r="B393" s="60">
        <v>387.0</v>
      </c>
      <c r="C393" s="85"/>
      <c r="D393" s="85"/>
      <c r="E393" s="85"/>
      <c r="F393" s="30"/>
      <c r="G393" s="30"/>
      <c r="H393" s="30"/>
      <c r="I393" s="30"/>
      <c r="J393" s="100"/>
    </row>
    <row r="394">
      <c r="B394" s="60">
        <v>388.0</v>
      </c>
      <c r="C394" s="85"/>
      <c r="D394" s="85"/>
      <c r="E394" s="85"/>
      <c r="F394" s="30"/>
      <c r="G394" s="30"/>
      <c r="H394" s="30"/>
      <c r="I394" s="30"/>
      <c r="J394" s="100"/>
    </row>
    <row r="395">
      <c r="B395" s="60">
        <v>389.0</v>
      </c>
      <c r="C395" s="85"/>
      <c r="D395" s="85"/>
      <c r="E395" s="85"/>
      <c r="F395" s="30"/>
      <c r="G395" s="30"/>
      <c r="H395" s="30"/>
      <c r="I395" s="30"/>
      <c r="J395" s="100"/>
    </row>
    <row r="396">
      <c r="B396" s="60">
        <v>390.0</v>
      </c>
      <c r="C396" s="85"/>
      <c r="D396" s="85"/>
      <c r="E396" s="85"/>
      <c r="F396" s="30"/>
      <c r="G396" s="30"/>
      <c r="H396" s="30"/>
      <c r="I396" s="30"/>
      <c r="J396" s="100"/>
    </row>
    <row r="397">
      <c r="B397" s="60">
        <v>391.0</v>
      </c>
      <c r="C397" s="85"/>
      <c r="D397" s="85"/>
      <c r="E397" s="85"/>
      <c r="F397" s="30"/>
      <c r="G397" s="30"/>
      <c r="H397" s="30"/>
      <c r="I397" s="30"/>
      <c r="J397" s="100"/>
    </row>
    <row r="398">
      <c r="B398" s="60">
        <v>392.0</v>
      </c>
      <c r="C398" s="85"/>
      <c r="D398" s="85"/>
      <c r="E398" s="85"/>
      <c r="F398" s="30"/>
      <c r="G398" s="30"/>
      <c r="H398" s="30"/>
      <c r="I398" s="30"/>
      <c r="J398" s="100"/>
    </row>
    <row r="399">
      <c r="B399" s="60">
        <v>393.0</v>
      </c>
      <c r="C399" s="85"/>
      <c r="D399" s="85"/>
      <c r="E399" s="85"/>
      <c r="F399" s="30"/>
      <c r="G399" s="30"/>
      <c r="H399" s="30"/>
      <c r="I399" s="30"/>
      <c r="J399" s="100"/>
    </row>
    <row r="400">
      <c r="B400" s="60">
        <v>394.0</v>
      </c>
      <c r="C400" s="85"/>
      <c r="D400" s="85"/>
      <c r="E400" s="85"/>
      <c r="F400" s="30"/>
      <c r="G400" s="30"/>
      <c r="H400" s="30"/>
      <c r="I400" s="30"/>
      <c r="J400" s="100"/>
    </row>
    <row r="401">
      <c r="B401" s="60">
        <v>395.0</v>
      </c>
      <c r="C401" s="85"/>
      <c r="D401" s="85"/>
      <c r="E401" s="85"/>
      <c r="F401" s="30"/>
      <c r="G401" s="30"/>
      <c r="H401" s="30"/>
      <c r="I401" s="30"/>
      <c r="J401" s="100"/>
    </row>
    <row r="402">
      <c r="B402" s="60">
        <v>396.0</v>
      </c>
      <c r="C402" s="85"/>
      <c r="D402" s="85"/>
      <c r="E402" s="85"/>
      <c r="F402" s="30"/>
      <c r="G402" s="30"/>
      <c r="H402" s="30"/>
      <c r="I402" s="30"/>
      <c r="J402" s="100"/>
    </row>
    <row r="403">
      <c r="B403" s="60">
        <v>397.0</v>
      </c>
      <c r="C403" s="85"/>
      <c r="D403" s="85"/>
      <c r="E403" s="85"/>
      <c r="F403" s="30"/>
      <c r="G403" s="30"/>
      <c r="H403" s="30"/>
      <c r="I403" s="30"/>
      <c r="J403" s="100"/>
    </row>
    <row r="404">
      <c r="B404" s="60">
        <v>398.0</v>
      </c>
      <c r="C404" s="85"/>
      <c r="D404" s="85"/>
      <c r="E404" s="85"/>
      <c r="F404" s="30"/>
      <c r="G404" s="30"/>
      <c r="H404" s="30"/>
      <c r="I404" s="30"/>
      <c r="J404" s="100"/>
    </row>
    <row r="405">
      <c r="B405" s="60">
        <v>399.0</v>
      </c>
      <c r="C405" s="85"/>
      <c r="D405" s="85"/>
      <c r="E405" s="85"/>
      <c r="F405" s="30"/>
      <c r="G405" s="30"/>
      <c r="H405" s="30"/>
      <c r="I405" s="30"/>
      <c r="J405" s="100"/>
    </row>
    <row r="406">
      <c r="B406" s="60">
        <v>400.0</v>
      </c>
      <c r="C406" s="85"/>
      <c r="D406" s="85"/>
      <c r="E406" s="85"/>
      <c r="F406" s="30"/>
      <c r="G406" s="30"/>
      <c r="H406" s="30"/>
      <c r="I406" s="30"/>
      <c r="J406" s="100"/>
    </row>
    <row r="407">
      <c r="B407" s="60">
        <v>401.0</v>
      </c>
      <c r="C407" s="85"/>
      <c r="D407" s="85"/>
      <c r="E407" s="85"/>
      <c r="F407" s="30"/>
      <c r="G407" s="30"/>
      <c r="H407" s="30"/>
      <c r="I407" s="30"/>
      <c r="J407" s="100"/>
    </row>
    <row r="408">
      <c r="B408" s="60">
        <v>402.0</v>
      </c>
      <c r="C408" s="85"/>
      <c r="D408" s="85"/>
      <c r="E408" s="85"/>
      <c r="F408" s="30"/>
      <c r="G408" s="30"/>
      <c r="H408" s="30"/>
      <c r="I408" s="30"/>
      <c r="J408" s="100"/>
    </row>
    <row r="409">
      <c r="B409" s="60">
        <v>403.0</v>
      </c>
      <c r="C409" s="85"/>
      <c r="D409" s="85"/>
      <c r="E409" s="85"/>
      <c r="F409" s="30"/>
      <c r="G409" s="30"/>
      <c r="H409" s="30"/>
      <c r="I409" s="30"/>
      <c r="J409" s="100"/>
    </row>
    <row r="410">
      <c r="B410" s="60">
        <v>404.0</v>
      </c>
      <c r="C410" s="85"/>
      <c r="D410" s="85"/>
      <c r="E410" s="85"/>
      <c r="F410" s="30"/>
      <c r="G410" s="30"/>
      <c r="H410" s="30"/>
      <c r="I410" s="30"/>
      <c r="J410" s="100"/>
    </row>
    <row r="411">
      <c r="B411" s="60">
        <v>405.0</v>
      </c>
      <c r="C411" s="85"/>
      <c r="D411" s="85"/>
      <c r="E411" s="85"/>
      <c r="F411" s="30"/>
      <c r="G411" s="30"/>
      <c r="H411" s="30"/>
      <c r="I411" s="30"/>
      <c r="J411" s="100"/>
    </row>
    <row r="412">
      <c r="B412" s="60">
        <v>406.0</v>
      </c>
      <c r="C412" s="85"/>
      <c r="D412" s="85"/>
      <c r="E412" s="85"/>
      <c r="F412" s="30"/>
      <c r="G412" s="30"/>
      <c r="H412" s="30"/>
      <c r="I412" s="30"/>
      <c r="J412" s="100"/>
    </row>
    <row r="413">
      <c r="B413" s="60">
        <v>407.0</v>
      </c>
      <c r="C413" s="85"/>
      <c r="D413" s="85"/>
      <c r="E413" s="85"/>
      <c r="F413" s="30"/>
      <c r="G413" s="30"/>
      <c r="H413" s="30"/>
      <c r="I413" s="30"/>
      <c r="J413" s="100"/>
    </row>
    <row r="414">
      <c r="B414" s="60">
        <v>408.0</v>
      </c>
      <c r="C414" s="85"/>
      <c r="D414" s="85"/>
      <c r="E414" s="85"/>
      <c r="F414" s="30"/>
      <c r="G414" s="30"/>
      <c r="H414" s="30"/>
      <c r="I414" s="30"/>
      <c r="J414" s="100"/>
    </row>
    <row r="415">
      <c r="B415" s="60">
        <v>409.0</v>
      </c>
      <c r="C415" s="85"/>
      <c r="D415" s="85"/>
      <c r="E415" s="85"/>
      <c r="F415" s="30"/>
      <c r="G415" s="30"/>
      <c r="H415" s="30"/>
      <c r="I415" s="30"/>
      <c r="J415" s="100"/>
    </row>
    <row r="416">
      <c r="B416" s="60">
        <v>410.0</v>
      </c>
      <c r="C416" s="85"/>
      <c r="D416" s="85"/>
      <c r="E416" s="85"/>
      <c r="F416" s="30"/>
      <c r="G416" s="30"/>
      <c r="H416" s="30"/>
      <c r="I416" s="30"/>
      <c r="J416" s="100"/>
    </row>
    <row r="417">
      <c r="B417" s="60">
        <v>411.0</v>
      </c>
      <c r="C417" s="85"/>
      <c r="D417" s="85"/>
      <c r="E417" s="85"/>
      <c r="F417" s="30"/>
      <c r="G417" s="30"/>
      <c r="H417" s="30"/>
      <c r="I417" s="30"/>
      <c r="J417" s="100"/>
    </row>
    <row r="418">
      <c r="B418" s="60">
        <v>412.0</v>
      </c>
      <c r="C418" s="85"/>
      <c r="D418" s="85"/>
      <c r="E418" s="85"/>
      <c r="F418" s="30"/>
      <c r="G418" s="30"/>
      <c r="H418" s="30"/>
      <c r="I418" s="30"/>
      <c r="J418" s="100"/>
    </row>
    <row r="419">
      <c r="B419" s="60">
        <v>413.0</v>
      </c>
      <c r="C419" s="85"/>
      <c r="D419" s="85"/>
      <c r="E419" s="85"/>
      <c r="F419" s="30"/>
      <c r="G419" s="30"/>
      <c r="H419" s="30"/>
      <c r="I419" s="30"/>
      <c r="J419" s="100"/>
    </row>
    <row r="420">
      <c r="B420" s="60">
        <v>414.0</v>
      </c>
      <c r="C420" s="85"/>
      <c r="D420" s="85"/>
      <c r="E420" s="85"/>
      <c r="F420" s="30"/>
      <c r="G420" s="30"/>
      <c r="H420" s="30"/>
      <c r="I420" s="30"/>
      <c r="J420" s="100"/>
    </row>
    <row r="421">
      <c r="B421" s="60">
        <v>415.0</v>
      </c>
      <c r="C421" s="85"/>
      <c r="D421" s="85"/>
      <c r="E421" s="85"/>
      <c r="F421" s="30"/>
      <c r="G421" s="30"/>
      <c r="H421" s="30"/>
      <c r="I421" s="30"/>
      <c r="J421" s="100"/>
    </row>
    <row r="422">
      <c r="B422" s="60">
        <v>416.0</v>
      </c>
      <c r="C422" s="85"/>
      <c r="D422" s="85"/>
      <c r="E422" s="85"/>
      <c r="F422" s="30"/>
      <c r="G422" s="30"/>
      <c r="H422" s="30"/>
      <c r="I422" s="30"/>
      <c r="J422" s="100"/>
    </row>
    <row r="423">
      <c r="B423" s="60">
        <v>417.0</v>
      </c>
      <c r="C423" s="85"/>
      <c r="D423" s="85"/>
      <c r="E423" s="85"/>
      <c r="F423" s="30"/>
      <c r="G423" s="30"/>
      <c r="H423" s="30"/>
      <c r="I423" s="30"/>
      <c r="J423" s="100"/>
    </row>
    <row r="424">
      <c r="B424" s="60">
        <v>418.0</v>
      </c>
      <c r="C424" s="85"/>
      <c r="D424" s="85"/>
      <c r="E424" s="85"/>
      <c r="F424" s="30"/>
      <c r="G424" s="30"/>
      <c r="H424" s="30"/>
      <c r="I424" s="30"/>
      <c r="J424" s="100"/>
    </row>
    <row r="425">
      <c r="B425" s="60">
        <v>419.0</v>
      </c>
      <c r="C425" s="85"/>
      <c r="D425" s="85"/>
      <c r="E425" s="85"/>
      <c r="F425" s="30"/>
      <c r="G425" s="30"/>
      <c r="H425" s="30"/>
      <c r="I425" s="30"/>
      <c r="J425" s="100"/>
    </row>
    <row r="426">
      <c r="B426" s="60">
        <v>420.0</v>
      </c>
      <c r="C426" s="85"/>
      <c r="D426" s="85"/>
      <c r="E426" s="85"/>
      <c r="F426" s="30"/>
      <c r="G426" s="30"/>
      <c r="H426" s="30"/>
      <c r="I426" s="30"/>
      <c r="J426" s="100"/>
    </row>
    <row r="427">
      <c r="B427" s="60">
        <v>421.0</v>
      </c>
      <c r="C427" s="85"/>
      <c r="D427" s="85"/>
      <c r="E427" s="85"/>
      <c r="F427" s="30"/>
      <c r="G427" s="30"/>
      <c r="H427" s="30"/>
      <c r="I427" s="30"/>
      <c r="J427" s="100"/>
    </row>
    <row r="428">
      <c r="B428" s="60">
        <v>422.0</v>
      </c>
      <c r="C428" s="85"/>
      <c r="D428" s="85"/>
      <c r="E428" s="85"/>
      <c r="F428" s="30"/>
      <c r="G428" s="30"/>
      <c r="H428" s="30"/>
      <c r="I428" s="30"/>
      <c r="J428" s="100"/>
    </row>
    <row r="429">
      <c r="B429" s="60">
        <v>423.0</v>
      </c>
      <c r="C429" s="85"/>
      <c r="D429" s="85"/>
      <c r="E429" s="85"/>
      <c r="F429" s="30"/>
      <c r="G429" s="30"/>
      <c r="H429" s="30"/>
      <c r="I429" s="30"/>
      <c r="J429" s="100"/>
    </row>
    <row r="430">
      <c r="B430" s="60">
        <v>424.0</v>
      </c>
      <c r="C430" s="85"/>
      <c r="D430" s="85"/>
      <c r="E430" s="85"/>
      <c r="F430" s="30"/>
      <c r="G430" s="30"/>
      <c r="H430" s="30"/>
      <c r="I430" s="30"/>
      <c r="J430" s="100"/>
    </row>
    <row r="431">
      <c r="B431" s="60">
        <v>425.0</v>
      </c>
      <c r="C431" s="85"/>
      <c r="D431" s="85"/>
      <c r="E431" s="85"/>
      <c r="F431" s="30"/>
      <c r="G431" s="30"/>
      <c r="H431" s="30"/>
      <c r="I431" s="30"/>
      <c r="J431" s="100"/>
    </row>
    <row r="432">
      <c r="B432" s="60">
        <v>426.0</v>
      </c>
      <c r="C432" s="85"/>
      <c r="D432" s="85"/>
      <c r="E432" s="85"/>
      <c r="F432" s="30"/>
      <c r="G432" s="30"/>
      <c r="H432" s="30"/>
      <c r="I432" s="30"/>
      <c r="J432" s="100"/>
    </row>
    <row r="433">
      <c r="B433" s="60">
        <v>427.0</v>
      </c>
      <c r="C433" s="85"/>
      <c r="D433" s="85"/>
      <c r="E433" s="85"/>
      <c r="F433" s="30"/>
      <c r="G433" s="30"/>
      <c r="H433" s="30"/>
      <c r="I433" s="30"/>
      <c r="J433" s="100"/>
    </row>
    <row r="434">
      <c r="B434" s="60">
        <v>428.0</v>
      </c>
      <c r="C434" s="85"/>
      <c r="D434" s="85"/>
      <c r="E434" s="85"/>
      <c r="F434" s="30"/>
      <c r="G434" s="30"/>
      <c r="H434" s="30"/>
      <c r="I434" s="30"/>
      <c r="J434" s="100"/>
    </row>
    <row r="435">
      <c r="B435" s="60">
        <v>429.0</v>
      </c>
      <c r="C435" s="85"/>
      <c r="D435" s="85"/>
      <c r="E435" s="85"/>
      <c r="F435" s="30"/>
      <c r="G435" s="30"/>
      <c r="H435" s="30"/>
      <c r="I435" s="30"/>
      <c r="J435" s="100"/>
    </row>
    <row r="436">
      <c r="B436" s="60">
        <v>430.0</v>
      </c>
      <c r="C436" s="85"/>
      <c r="D436" s="85"/>
      <c r="E436" s="85"/>
      <c r="F436" s="30"/>
      <c r="G436" s="30"/>
      <c r="H436" s="30"/>
      <c r="I436" s="30"/>
      <c r="J436" s="100"/>
    </row>
    <row r="437">
      <c r="B437" s="60">
        <v>431.0</v>
      </c>
      <c r="C437" s="85"/>
      <c r="D437" s="85"/>
      <c r="E437" s="85"/>
      <c r="F437" s="30"/>
      <c r="G437" s="30"/>
      <c r="H437" s="30"/>
      <c r="I437" s="30"/>
      <c r="J437" s="100"/>
    </row>
    <row r="438">
      <c r="B438" s="60">
        <v>432.0</v>
      </c>
      <c r="C438" s="85"/>
      <c r="D438" s="85"/>
      <c r="E438" s="85"/>
      <c r="F438" s="30"/>
      <c r="G438" s="30"/>
      <c r="H438" s="30"/>
      <c r="I438" s="30"/>
      <c r="J438" s="100"/>
    </row>
    <row r="439">
      <c r="B439" s="60">
        <v>433.0</v>
      </c>
      <c r="C439" s="85"/>
      <c r="D439" s="85"/>
      <c r="E439" s="85"/>
      <c r="F439" s="30"/>
      <c r="G439" s="30"/>
      <c r="H439" s="30"/>
      <c r="I439" s="30"/>
      <c r="J439" s="100"/>
    </row>
    <row r="440">
      <c r="B440" s="60">
        <v>434.0</v>
      </c>
      <c r="C440" s="85"/>
      <c r="D440" s="85"/>
      <c r="E440" s="85"/>
      <c r="F440" s="30"/>
      <c r="G440" s="30"/>
      <c r="H440" s="30"/>
      <c r="I440" s="30"/>
      <c r="J440" s="100"/>
    </row>
    <row r="441">
      <c r="B441" s="60">
        <v>435.0</v>
      </c>
      <c r="C441" s="85"/>
      <c r="D441" s="85"/>
      <c r="E441" s="85"/>
      <c r="F441" s="30"/>
      <c r="G441" s="30"/>
      <c r="H441" s="30"/>
      <c r="I441" s="30"/>
      <c r="J441" s="100"/>
    </row>
    <row r="442">
      <c r="B442" s="60">
        <v>436.0</v>
      </c>
      <c r="C442" s="85"/>
      <c r="D442" s="85"/>
      <c r="E442" s="85"/>
      <c r="F442" s="30"/>
      <c r="G442" s="30"/>
      <c r="H442" s="30"/>
      <c r="I442" s="30"/>
      <c r="J442" s="100"/>
    </row>
    <row r="443">
      <c r="B443" s="60">
        <v>437.0</v>
      </c>
      <c r="C443" s="85"/>
      <c r="D443" s="85"/>
      <c r="E443" s="85"/>
      <c r="F443" s="30"/>
      <c r="G443" s="30"/>
      <c r="H443" s="30"/>
      <c r="I443" s="30"/>
      <c r="J443" s="100"/>
    </row>
    <row r="444">
      <c r="B444" s="60">
        <v>438.0</v>
      </c>
      <c r="C444" s="85"/>
      <c r="D444" s="85"/>
      <c r="E444" s="85"/>
      <c r="F444" s="30"/>
      <c r="G444" s="30"/>
      <c r="H444" s="30"/>
      <c r="I444" s="30"/>
      <c r="J444" s="100"/>
    </row>
    <row r="445">
      <c r="B445" s="60">
        <v>439.0</v>
      </c>
      <c r="C445" s="85"/>
      <c r="D445" s="85"/>
      <c r="E445" s="85"/>
      <c r="F445" s="30"/>
      <c r="G445" s="30"/>
      <c r="H445" s="30"/>
      <c r="I445" s="30"/>
      <c r="J445" s="100"/>
    </row>
    <row r="446">
      <c r="B446" s="60">
        <v>440.0</v>
      </c>
      <c r="C446" s="85"/>
      <c r="D446" s="85"/>
      <c r="E446" s="85"/>
      <c r="F446" s="30"/>
      <c r="G446" s="30"/>
      <c r="H446" s="30"/>
      <c r="I446" s="30"/>
      <c r="J446" s="100"/>
    </row>
    <row r="447">
      <c r="B447" s="60">
        <v>441.0</v>
      </c>
      <c r="C447" s="85"/>
      <c r="D447" s="85"/>
      <c r="E447" s="85"/>
      <c r="F447" s="30"/>
      <c r="G447" s="30"/>
      <c r="H447" s="30"/>
      <c r="I447" s="30"/>
      <c r="J447" s="100"/>
    </row>
    <row r="448">
      <c r="B448" s="60">
        <v>442.0</v>
      </c>
      <c r="C448" s="85"/>
      <c r="D448" s="85"/>
      <c r="E448" s="85"/>
      <c r="F448" s="30"/>
      <c r="G448" s="30"/>
      <c r="H448" s="30"/>
      <c r="I448" s="30"/>
      <c r="J448" s="100"/>
    </row>
    <row r="449">
      <c r="B449" s="60">
        <v>443.0</v>
      </c>
      <c r="C449" s="85"/>
      <c r="D449" s="85"/>
      <c r="E449" s="85"/>
      <c r="F449" s="30"/>
      <c r="G449" s="30"/>
      <c r="H449" s="30"/>
      <c r="I449" s="30"/>
      <c r="J449" s="100"/>
    </row>
    <row r="450">
      <c r="B450" s="60">
        <v>444.0</v>
      </c>
      <c r="C450" s="85"/>
      <c r="D450" s="85"/>
      <c r="E450" s="85"/>
      <c r="F450" s="30"/>
      <c r="G450" s="30"/>
      <c r="H450" s="30"/>
      <c r="I450" s="30"/>
      <c r="J450" s="100"/>
    </row>
    <row r="451">
      <c r="B451" s="60">
        <v>445.0</v>
      </c>
      <c r="C451" s="85"/>
      <c r="D451" s="85"/>
      <c r="E451" s="85"/>
      <c r="F451" s="30"/>
      <c r="G451" s="30"/>
      <c r="H451" s="30"/>
      <c r="I451" s="30"/>
      <c r="J451" s="100"/>
    </row>
    <row r="452">
      <c r="B452" s="60">
        <v>446.0</v>
      </c>
      <c r="C452" s="85"/>
      <c r="D452" s="85"/>
      <c r="E452" s="85"/>
      <c r="F452" s="30"/>
      <c r="G452" s="30"/>
      <c r="H452" s="30"/>
      <c r="I452" s="30"/>
      <c r="J452" s="100"/>
    </row>
    <row r="453">
      <c r="B453" s="60">
        <v>447.0</v>
      </c>
      <c r="C453" s="85"/>
      <c r="D453" s="85"/>
      <c r="E453" s="85"/>
      <c r="F453" s="30"/>
      <c r="G453" s="30"/>
      <c r="H453" s="30"/>
      <c r="I453" s="30"/>
      <c r="J453" s="100"/>
    </row>
    <row r="454">
      <c r="B454" s="60">
        <v>448.0</v>
      </c>
      <c r="C454" s="85"/>
      <c r="D454" s="85"/>
      <c r="E454" s="85"/>
      <c r="F454" s="30"/>
      <c r="G454" s="30"/>
      <c r="H454" s="30"/>
      <c r="I454" s="30"/>
      <c r="J454" s="100"/>
    </row>
    <row r="455">
      <c r="B455" s="60">
        <v>449.0</v>
      </c>
      <c r="C455" s="85"/>
      <c r="D455" s="85"/>
      <c r="E455" s="85"/>
      <c r="F455" s="30"/>
      <c r="G455" s="30"/>
      <c r="H455" s="30"/>
      <c r="I455" s="30"/>
      <c r="J455" s="100"/>
    </row>
    <row r="456">
      <c r="B456" s="60">
        <v>450.0</v>
      </c>
      <c r="C456" s="85"/>
      <c r="D456" s="85"/>
      <c r="E456" s="85"/>
      <c r="F456" s="30"/>
      <c r="G456" s="30"/>
      <c r="H456" s="30"/>
      <c r="I456" s="30"/>
      <c r="J456" s="100"/>
    </row>
    <row r="457">
      <c r="B457" s="60">
        <v>451.0</v>
      </c>
      <c r="C457" s="85"/>
      <c r="D457" s="85"/>
      <c r="E457" s="85"/>
      <c r="F457" s="30"/>
      <c r="G457" s="30"/>
      <c r="H457" s="30"/>
      <c r="I457" s="30"/>
      <c r="J457" s="100"/>
    </row>
    <row r="458">
      <c r="B458" s="60">
        <v>452.0</v>
      </c>
      <c r="C458" s="85"/>
      <c r="D458" s="85"/>
      <c r="E458" s="85"/>
      <c r="F458" s="30"/>
      <c r="G458" s="30"/>
      <c r="H458" s="30"/>
      <c r="I458" s="30"/>
      <c r="J458" s="100"/>
    </row>
    <row r="459">
      <c r="B459" s="60">
        <v>453.0</v>
      </c>
      <c r="C459" s="85"/>
      <c r="D459" s="85"/>
      <c r="E459" s="85"/>
      <c r="F459" s="30"/>
      <c r="G459" s="30"/>
      <c r="H459" s="30"/>
      <c r="I459" s="30"/>
      <c r="J459" s="100"/>
    </row>
    <row r="460">
      <c r="B460" s="60">
        <v>454.0</v>
      </c>
      <c r="C460" s="85"/>
      <c r="D460" s="85"/>
      <c r="E460" s="85"/>
      <c r="F460" s="30"/>
      <c r="G460" s="30"/>
      <c r="H460" s="30"/>
      <c r="I460" s="30"/>
      <c r="J460" s="100"/>
    </row>
    <row r="461">
      <c r="B461" s="60">
        <v>455.0</v>
      </c>
      <c r="C461" s="85"/>
      <c r="D461" s="85"/>
      <c r="E461" s="85"/>
      <c r="F461" s="30"/>
      <c r="G461" s="30"/>
      <c r="H461" s="30"/>
      <c r="I461" s="30"/>
      <c r="J461" s="100"/>
    </row>
    <row r="462">
      <c r="B462" s="60">
        <v>456.0</v>
      </c>
      <c r="C462" s="85"/>
      <c r="D462" s="85"/>
      <c r="E462" s="85"/>
      <c r="F462" s="30"/>
      <c r="G462" s="30"/>
      <c r="H462" s="30"/>
      <c r="I462" s="30"/>
      <c r="J462" s="100"/>
    </row>
    <row r="463">
      <c r="B463" s="60">
        <v>457.0</v>
      </c>
      <c r="C463" s="85"/>
      <c r="D463" s="85"/>
      <c r="E463" s="85"/>
      <c r="F463" s="30"/>
      <c r="G463" s="30"/>
      <c r="H463" s="30"/>
      <c r="I463" s="30"/>
      <c r="J463" s="100"/>
    </row>
    <row r="464">
      <c r="B464" s="60">
        <v>458.0</v>
      </c>
      <c r="C464" s="85"/>
      <c r="D464" s="85"/>
      <c r="E464" s="85"/>
      <c r="F464" s="30"/>
      <c r="G464" s="30"/>
      <c r="H464" s="30"/>
      <c r="I464" s="30"/>
      <c r="J464" s="100"/>
    </row>
    <row r="465">
      <c r="B465" s="60">
        <v>459.0</v>
      </c>
      <c r="C465" s="85"/>
      <c r="D465" s="85"/>
      <c r="E465" s="85"/>
      <c r="F465" s="30"/>
      <c r="G465" s="30"/>
      <c r="H465" s="30"/>
      <c r="I465" s="30"/>
      <c r="J465" s="100"/>
    </row>
    <row r="466">
      <c r="B466" s="60">
        <v>460.0</v>
      </c>
      <c r="C466" s="85"/>
      <c r="D466" s="85"/>
      <c r="E466" s="85"/>
      <c r="F466" s="30"/>
      <c r="G466" s="30"/>
      <c r="H466" s="30"/>
      <c r="I466" s="30"/>
      <c r="J466" s="100"/>
    </row>
    <row r="467">
      <c r="B467" s="60">
        <v>461.0</v>
      </c>
      <c r="C467" s="85"/>
      <c r="D467" s="85"/>
      <c r="E467" s="85"/>
      <c r="F467" s="30"/>
      <c r="G467" s="30"/>
      <c r="H467" s="30"/>
      <c r="I467" s="30"/>
      <c r="J467" s="100"/>
    </row>
    <row r="468">
      <c r="B468" s="60">
        <v>462.0</v>
      </c>
      <c r="C468" s="85"/>
      <c r="D468" s="85"/>
      <c r="E468" s="85"/>
      <c r="F468" s="30"/>
      <c r="G468" s="30"/>
      <c r="H468" s="30"/>
      <c r="I468" s="30"/>
      <c r="J468" s="100"/>
    </row>
    <row r="469">
      <c r="B469" s="60">
        <v>463.0</v>
      </c>
      <c r="C469" s="85"/>
      <c r="D469" s="85"/>
      <c r="E469" s="85"/>
      <c r="F469" s="30"/>
      <c r="G469" s="30"/>
      <c r="H469" s="30"/>
      <c r="I469" s="30"/>
      <c r="J469" s="100"/>
    </row>
    <row r="470">
      <c r="B470" s="60">
        <v>464.0</v>
      </c>
      <c r="C470" s="85"/>
      <c r="D470" s="85"/>
      <c r="E470" s="85"/>
      <c r="F470" s="30"/>
      <c r="G470" s="30"/>
      <c r="H470" s="30"/>
      <c r="I470" s="30"/>
      <c r="J470" s="100"/>
    </row>
    <row r="471">
      <c r="B471" s="60">
        <v>465.0</v>
      </c>
      <c r="C471" s="85"/>
      <c r="D471" s="85"/>
      <c r="E471" s="85"/>
      <c r="F471" s="30"/>
      <c r="G471" s="30"/>
      <c r="H471" s="30"/>
      <c r="I471" s="30"/>
      <c r="J471" s="100"/>
    </row>
    <row r="472">
      <c r="B472" s="60">
        <v>466.0</v>
      </c>
      <c r="C472" s="85"/>
      <c r="D472" s="85"/>
      <c r="E472" s="85"/>
      <c r="F472" s="30"/>
      <c r="G472" s="30"/>
      <c r="H472" s="30"/>
      <c r="I472" s="30"/>
      <c r="J472" s="100"/>
    </row>
    <row r="473">
      <c r="B473" s="60">
        <v>467.0</v>
      </c>
      <c r="C473" s="85"/>
      <c r="D473" s="85"/>
      <c r="E473" s="85"/>
      <c r="F473" s="30"/>
      <c r="G473" s="30"/>
      <c r="H473" s="30"/>
      <c r="I473" s="30"/>
      <c r="J473" s="100"/>
    </row>
    <row r="474">
      <c r="B474" s="60">
        <v>468.0</v>
      </c>
      <c r="C474" s="85"/>
      <c r="D474" s="85"/>
      <c r="E474" s="85"/>
      <c r="F474" s="30"/>
      <c r="G474" s="30"/>
      <c r="H474" s="30"/>
      <c r="I474" s="30"/>
      <c r="J474" s="100"/>
    </row>
    <row r="475">
      <c r="B475" s="60">
        <v>469.0</v>
      </c>
      <c r="C475" s="85"/>
      <c r="D475" s="85"/>
      <c r="E475" s="85"/>
      <c r="F475" s="30"/>
      <c r="G475" s="30"/>
      <c r="H475" s="30"/>
      <c r="I475" s="30"/>
      <c r="J475" s="100"/>
    </row>
    <row r="476">
      <c r="B476" s="60">
        <v>470.0</v>
      </c>
      <c r="C476" s="85"/>
      <c r="D476" s="85"/>
      <c r="E476" s="85"/>
      <c r="F476" s="30"/>
      <c r="G476" s="30"/>
      <c r="H476" s="30"/>
      <c r="I476" s="30"/>
      <c r="J476" s="100"/>
    </row>
    <row r="477">
      <c r="B477" s="60">
        <v>471.0</v>
      </c>
      <c r="C477" s="85"/>
      <c r="D477" s="85"/>
      <c r="E477" s="85"/>
      <c r="F477" s="30"/>
      <c r="G477" s="30"/>
      <c r="H477" s="30"/>
      <c r="I477" s="30"/>
      <c r="J477" s="100"/>
    </row>
    <row r="478">
      <c r="B478" s="60">
        <v>472.0</v>
      </c>
      <c r="C478" s="85"/>
      <c r="D478" s="85"/>
      <c r="E478" s="85"/>
      <c r="F478" s="30"/>
      <c r="G478" s="30"/>
      <c r="H478" s="30"/>
      <c r="I478" s="30"/>
      <c r="J478" s="100"/>
    </row>
    <row r="479">
      <c r="B479" s="60">
        <v>473.0</v>
      </c>
      <c r="C479" s="85"/>
      <c r="D479" s="85"/>
      <c r="E479" s="85"/>
      <c r="F479" s="30"/>
      <c r="G479" s="30"/>
      <c r="H479" s="30"/>
      <c r="I479" s="30"/>
      <c r="J479" s="100"/>
    </row>
    <row r="480">
      <c r="B480" s="60">
        <v>474.0</v>
      </c>
      <c r="C480" s="85"/>
      <c r="D480" s="85"/>
      <c r="E480" s="85"/>
      <c r="F480" s="30"/>
      <c r="G480" s="30"/>
      <c r="H480" s="30"/>
      <c r="I480" s="30"/>
      <c r="J480" s="100"/>
    </row>
    <row r="481">
      <c r="B481" s="60">
        <v>475.0</v>
      </c>
      <c r="C481" s="85"/>
      <c r="D481" s="85"/>
      <c r="E481" s="85"/>
      <c r="F481" s="30"/>
      <c r="G481" s="30"/>
      <c r="H481" s="30"/>
      <c r="I481" s="30"/>
      <c r="J481" s="100"/>
    </row>
    <row r="482">
      <c r="B482" s="60">
        <v>476.0</v>
      </c>
      <c r="C482" s="85"/>
      <c r="D482" s="85"/>
      <c r="E482" s="85"/>
      <c r="F482" s="30"/>
      <c r="G482" s="30"/>
      <c r="H482" s="30"/>
      <c r="I482" s="30"/>
      <c r="J482" s="100"/>
    </row>
    <row r="483">
      <c r="B483" s="60">
        <v>477.0</v>
      </c>
      <c r="C483" s="85"/>
      <c r="D483" s="85"/>
      <c r="E483" s="85"/>
      <c r="F483" s="30"/>
      <c r="G483" s="30"/>
      <c r="H483" s="30"/>
      <c r="I483" s="30"/>
      <c r="J483" s="100"/>
    </row>
    <row r="484">
      <c r="B484" s="60">
        <v>478.0</v>
      </c>
      <c r="C484" s="85"/>
      <c r="D484" s="85"/>
      <c r="E484" s="85"/>
      <c r="F484" s="30"/>
      <c r="G484" s="30"/>
      <c r="H484" s="30"/>
      <c r="I484" s="30"/>
      <c r="J484" s="100"/>
    </row>
    <row r="485">
      <c r="B485" s="60">
        <v>479.0</v>
      </c>
      <c r="C485" s="85"/>
      <c r="D485" s="85"/>
      <c r="E485" s="85"/>
      <c r="F485" s="30"/>
      <c r="G485" s="30"/>
      <c r="H485" s="30"/>
      <c r="I485" s="30"/>
      <c r="J485" s="100"/>
    </row>
    <row r="486">
      <c r="B486" s="60">
        <v>480.0</v>
      </c>
      <c r="C486" s="85"/>
      <c r="D486" s="85"/>
      <c r="E486" s="85"/>
      <c r="F486" s="30"/>
      <c r="G486" s="30"/>
      <c r="H486" s="30"/>
      <c r="I486" s="30"/>
      <c r="J486" s="100"/>
    </row>
    <row r="487">
      <c r="B487" s="60">
        <v>481.0</v>
      </c>
      <c r="C487" s="85"/>
      <c r="D487" s="85"/>
      <c r="E487" s="85"/>
      <c r="F487" s="30"/>
      <c r="G487" s="30"/>
      <c r="H487" s="30"/>
      <c r="I487" s="30"/>
      <c r="J487" s="100"/>
    </row>
    <row r="488">
      <c r="B488" s="60">
        <v>482.0</v>
      </c>
      <c r="C488" s="85"/>
      <c r="D488" s="85"/>
      <c r="E488" s="85"/>
      <c r="F488" s="30"/>
      <c r="G488" s="30"/>
      <c r="H488" s="30"/>
      <c r="I488" s="30"/>
      <c r="J488" s="100"/>
    </row>
    <row r="489">
      <c r="B489" s="60">
        <v>483.0</v>
      </c>
      <c r="C489" s="85"/>
      <c r="D489" s="85"/>
      <c r="E489" s="85"/>
      <c r="F489" s="30"/>
      <c r="G489" s="30"/>
      <c r="H489" s="30"/>
      <c r="I489" s="30"/>
      <c r="J489" s="100"/>
    </row>
    <row r="490">
      <c r="B490" s="60">
        <v>484.0</v>
      </c>
      <c r="C490" s="85"/>
      <c r="D490" s="85"/>
      <c r="E490" s="85"/>
      <c r="F490" s="30"/>
      <c r="G490" s="30"/>
      <c r="H490" s="30"/>
      <c r="I490" s="30"/>
      <c r="J490" s="100"/>
    </row>
    <row r="491">
      <c r="B491" s="60">
        <v>485.0</v>
      </c>
      <c r="C491" s="85"/>
      <c r="D491" s="85"/>
      <c r="E491" s="85"/>
      <c r="F491" s="30"/>
      <c r="G491" s="30"/>
      <c r="H491" s="30"/>
      <c r="I491" s="30"/>
      <c r="J491" s="100"/>
    </row>
    <row r="492">
      <c r="B492" s="60">
        <v>486.0</v>
      </c>
      <c r="C492" s="85"/>
      <c r="D492" s="85"/>
      <c r="E492" s="85"/>
      <c r="F492" s="30"/>
      <c r="G492" s="30"/>
      <c r="H492" s="30"/>
      <c r="I492" s="30"/>
      <c r="J492" s="100"/>
    </row>
    <row r="493">
      <c r="B493" s="60">
        <v>487.0</v>
      </c>
      <c r="C493" s="85"/>
      <c r="D493" s="85"/>
      <c r="E493" s="85"/>
      <c r="F493" s="30"/>
      <c r="G493" s="30"/>
      <c r="H493" s="30"/>
      <c r="I493" s="30"/>
      <c r="J493" s="100"/>
    </row>
    <row r="494">
      <c r="B494" s="60">
        <v>488.0</v>
      </c>
      <c r="C494" s="85"/>
      <c r="D494" s="85"/>
      <c r="E494" s="85"/>
      <c r="F494" s="30"/>
      <c r="G494" s="30"/>
      <c r="H494" s="30"/>
      <c r="I494" s="30"/>
      <c r="J494" s="100"/>
    </row>
    <row r="495">
      <c r="B495" s="60">
        <v>489.0</v>
      </c>
      <c r="C495" s="85"/>
      <c r="D495" s="85"/>
      <c r="E495" s="85"/>
      <c r="F495" s="30"/>
      <c r="G495" s="30"/>
      <c r="H495" s="30"/>
      <c r="I495" s="30"/>
      <c r="J495" s="100"/>
    </row>
    <row r="496">
      <c r="B496" s="60">
        <v>490.0</v>
      </c>
      <c r="C496" s="85"/>
      <c r="D496" s="85"/>
      <c r="E496" s="85"/>
      <c r="F496" s="30"/>
      <c r="G496" s="30"/>
      <c r="H496" s="30"/>
      <c r="I496" s="30"/>
      <c r="J496" s="100"/>
    </row>
    <row r="497">
      <c r="B497" s="60">
        <v>491.0</v>
      </c>
      <c r="C497" s="85"/>
      <c r="D497" s="85"/>
      <c r="E497" s="85"/>
      <c r="F497" s="30"/>
      <c r="G497" s="30"/>
      <c r="H497" s="30"/>
      <c r="I497" s="30"/>
      <c r="J497" s="100"/>
    </row>
    <row r="498">
      <c r="B498" s="60">
        <v>492.0</v>
      </c>
      <c r="C498" s="85"/>
      <c r="D498" s="85"/>
      <c r="E498" s="85"/>
      <c r="F498" s="30"/>
      <c r="G498" s="30"/>
      <c r="H498" s="30"/>
      <c r="I498" s="30"/>
      <c r="J498" s="100"/>
    </row>
    <row r="499">
      <c r="B499" s="60">
        <v>493.0</v>
      </c>
      <c r="C499" s="85"/>
      <c r="D499" s="85"/>
      <c r="E499" s="85"/>
      <c r="F499" s="30"/>
      <c r="G499" s="30"/>
      <c r="H499" s="30"/>
      <c r="I499" s="30"/>
      <c r="J499" s="100"/>
    </row>
    <row r="500">
      <c r="B500" s="60">
        <v>494.0</v>
      </c>
      <c r="C500" s="85"/>
      <c r="D500" s="85"/>
      <c r="E500" s="85"/>
      <c r="F500" s="30"/>
      <c r="G500" s="30"/>
      <c r="H500" s="30"/>
      <c r="I500" s="30"/>
      <c r="J500" s="100"/>
    </row>
    <row r="501">
      <c r="B501" s="60">
        <v>495.0</v>
      </c>
      <c r="C501" s="85"/>
      <c r="D501" s="85"/>
      <c r="E501" s="85"/>
      <c r="F501" s="30"/>
      <c r="G501" s="30"/>
      <c r="H501" s="30"/>
      <c r="I501" s="30"/>
      <c r="J501" s="100"/>
    </row>
    <row r="502">
      <c r="B502" s="60">
        <v>496.0</v>
      </c>
      <c r="C502" s="85"/>
      <c r="D502" s="85"/>
      <c r="E502" s="85"/>
      <c r="F502" s="30"/>
      <c r="G502" s="30"/>
      <c r="H502" s="30"/>
      <c r="I502" s="30"/>
      <c r="J502" s="100"/>
    </row>
    <row r="503">
      <c r="B503" s="60">
        <v>497.0</v>
      </c>
      <c r="C503" s="85"/>
      <c r="D503" s="85"/>
      <c r="E503" s="85"/>
      <c r="F503" s="30"/>
      <c r="G503" s="30"/>
      <c r="H503" s="30"/>
      <c r="I503" s="30"/>
      <c r="J503" s="100"/>
    </row>
    <row r="504">
      <c r="B504" s="60">
        <v>498.0</v>
      </c>
      <c r="C504" s="85"/>
      <c r="D504" s="85"/>
      <c r="E504" s="85"/>
      <c r="F504" s="30"/>
      <c r="G504" s="30"/>
      <c r="H504" s="30"/>
      <c r="I504" s="30"/>
      <c r="J504" s="100"/>
    </row>
    <row r="505">
      <c r="B505" s="60">
        <v>499.0</v>
      </c>
      <c r="C505" s="85"/>
      <c r="D505" s="85"/>
      <c r="E505" s="85"/>
      <c r="F505" s="30"/>
      <c r="G505" s="30"/>
      <c r="H505" s="30"/>
      <c r="I505" s="30"/>
      <c r="J505" s="100"/>
    </row>
    <row r="506">
      <c r="B506" s="60">
        <v>500.0</v>
      </c>
      <c r="C506" s="85"/>
      <c r="D506" s="85"/>
      <c r="E506" s="85"/>
      <c r="F506" s="30"/>
      <c r="G506" s="30"/>
      <c r="H506" s="30"/>
      <c r="I506" s="30"/>
      <c r="J506" s="100"/>
    </row>
    <row r="507">
      <c r="B507" s="60">
        <v>501.0</v>
      </c>
      <c r="C507" s="85"/>
      <c r="D507" s="85"/>
      <c r="E507" s="85"/>
      <c r="F507" s="30"/>
      <c r="G507" s="30"/>
      <c r="H507" s="30"/>
      <c r="I507" s="30"/>
      <c r="J507" s="100"/>
    </row>
    <row r="508">
      <c r="B508" s="60">
        <v>502.0</v>
      </c>
      <c r="C508" s="85"/>
      <c r="D508" s="85"/>
      <c r="E508" s="85"/>
      <c r="F508" s="30"/>
      <c r="G508" s="30"/>
      <c r="H508" s="30"/>
      <c r="I508" s="30"/>
      <c r="J508" s="100"/>
    </row>
    <row r="509">
      <c r="B509" s="60">
        <v>503.0</v>
      </c>
      <c r="C509" s="85"/>
      <c r="D509" s="85"/>
      <c r="E509" s="85"/>
      <c r="F509" s="30"/>
      <c r="G509" s="30"/>
      <c r="H509" s="30"/>
      <c r="I509" s="30"/>
      <c r="J509" s="100"/>
    </row>
    <row r="510">
      <c r="B510" s="60">
        <v>504.0</v>
      </c>
      <c r="C510" s="85"/>
      <c r="D510" s="85"/>
      <c r="E510" s="85"/>
      <c r="F510" s="30"/>
      <c r="G510" s="30"/>
      <c r="H510" s="30"/>
      <c r="I510" s="30"/>
      <c r="J510" s="100"/>
    </row>
    <row r="511">
      <c r="B511" s="60">
        <v>505.0</v>
      </c>
      <c r="C511" s="85"/>
      <c r="D511" s="85"/>
      <c r="E511" s="85"/>
      <c r="F511" s="30"/>
      <c r="G511" s="30"/>
      <c r="H511" s="30"/>
      <c r="I511" s="30"/>
      <c r="J511" s="100"/>
    </row>
    <row r="512">
      <c r="B512" s="60">
        <v>506.0</v>
      </c>
      <c r="C512" s="85"/>
      <c r="D512" s="85"/>
      <c r="E512" s="85"/>
      <c r="F512" s="30"/>
      <c r="G512" s="30"/>
      <c r="H512" s="30"/>
      <c r="I512" s="30"/>
      <c r="J512" s="100"/>
    </row>
    <row r="513">
      <c r="B513" s="60">
        <v>507.0</v>
      </c>
      <c r="C513" s="85"/>
      <c r="D513" s="85"/>
      <c r="E513" s="85"/>
      <c r="F513" s="30"/>
      <c r="G513" s="30"/>
      <c r="H513" s="30"/>
      <c r="I513" s="30"/>
      <c r="J513" s="100"/>
    </row>
    <row r="514">
      <c r="B514" s="60">
        <v>508.0</v>
      </c>
      <c r="C514" s="85"/>
      <c r="D514" s="85"/>
      <c r="E514" s="85"/>
      <c r="F514" s="30"/>
      <c r="G514" s="30"/>
      <c r="H514" s="30"/>
      <c r="I514" s="30"/>
      <c r="J514" s="100"/>
    </row>
    <row r="515">
      <c r="B515" s="60">
        <v>509.0</v>
      </c>
      <c r="C515" s="85"/>
      <c r="D515" s="85"/>
      <c r="E515" s="85"/>
      <c r="F515" s="30"/>
      <c r="G515" s="30"/>
      <c r="H515" s="30"/>
      <c r="I515" s="30"/>
      <c r="J515" s="100"/>
    </row>
    <row r="516">
      <c r="B516" s="60">
        <v>510.0</v>
      </c>
      <c r="C516" s="85"/>
      <c r="D516" s="85"/>
      <c r="E516" s="85"/>
      <c r="F516" s="30"/>
      <c r="G516" s="30"/>
      <c r="H516" s="30"/>
      <c r="I516" s="30"/>
      <c r="J516" s="100"/>
    </row>
    <row r="517">
      <c r="B517" s="60">
        <v>511.0</v>
      </c>
      <c r="C517" s="85"/>
      <c r="D517" s="85"/>
      <c r="E517" s="85"/>
      <c r="F517" s="30"/>
      <c r="G517" s="30"/>
      <c r="H517" s="30"/>
      <c r="I517" s="30"/>
      <c r="J517" s="100"/>
    </row>
    <row r="518">
      <c r="B518" s="60">
        <v>512.0</v>
      </c>
      <c r="C518" s="85"/>
      <c r="D518" s="85"/>
      <c r="E518" s="85"/>
      <c r="F518" s="30"/>
      <c r="G518" s="30"/>
      <c r="H518" s="30"/>
      <c r="I518" s="30"/>
      <c r="J518" s="100"/>
    </row>
    <row r="519">
      <c r="B519" s="60">
        <v>513.0</v>
      </c>
      <c r="C519" s="85"/>
      <c r="D519" s="85"/>
      <c r="E519" s="85"/>
      <c r="F519" s="30"/>
      <c r="G519" s="30"/>
      <c r="H519" s="30"/>
      <c r="I519" s="30"/>
      <c r="J519" s="100"/>
    </row>
    <row r="520">
      <c r="B520" s="60">
        <v>514.0</v>
      </c>
      <c r="C520" s="85"/>
      <c r="D520" s="85"/>
      <c r="E520" s="85"/>
      <c r="F520" s="30"/>
      <c r="G520" s="30"/>
      <c r="H520" s="30"/>
      <c r="I520" s="30"/>
      <c r="J520" s="100"/>
    </row>
    <row r="521">
      <c r="B521" s="60">
        <v>515.0</v>
      </c>
      <c r="C521" s="85"/>
      <c r="D521" s="85"/>
      <c r="E521" s="85"/>
      <c r="F521" s="30"/>
      <c r="G521" s="30"/>
      <c r="H521" s="30"/>
      <c r="I521" s="30"/>
      <c r="J521" s="100"/>
    </row>
    <row r="522">
      <c r="B522" s="60">
        <v>516.0</v>
      </c>
      <c r="C522" s="85"/>
      <c r="D522" s="85"/>
      <c r="E522" s="85"/>
      <c r="F522" s="30"/>
      <c r="G522" s="30"/>
      <c r="H522" s="30"/>
      <c r="I522" s="30"/>
      <c r="J522" s="100"/>
    </row>
    <row r="523">
      <c r="B523" s="60">
        <v>517.0</v>
      </c>
      <c r="C523" s="85"/>
      <c r="D523" s="85"/>
      <c r="E523" s="85"/>
      <c r="F523" s="30"/>
      <c r="G523" s="30"/>
      <c r="H523" s="30"/>
      <c r="I523" s="30"/>
      <c r="J523" s="100"/>
    </row>
    <row r="524">
      <c r="B524" s="60">
        <v>518.0</v>
      </c>
      <c r="C524" s="85"/>
      <c r="D524" s="85"/>
      <c r="E524" s="85"/>
      <c r="F524" s="30"/>
      <c r="G524" s="30"/>
      <c r="H524" s="30"/>
      <c r="I524" s="30"/>
      <c r="J524" s="100"/>
    </row>
    <row r="525">
      <c r="B525" s="60">
        <v>519.0</v>
      </c>
      <c r="C525" s="85"/>
      <c r="D525" s="85"/>
      <c r="E525" s="85"/>
      <c r="F525" s="30"/>
      <c r="G525" s="30"/>
      <c r="H525" s="30"/>
      <c r="I525" s="30"/>
      <c r="J525" s="100"/>
    </row>
    <row r="526">
      <c r="B526" s="60">
        <v>520.0</v>
      </c>
      <c r="C526" s="85"/>
      <c r="D526" s="85"/>
      <c r="E526" s="85"/>
      <c r="F526" s="30"/>
      <c r="G526" s="30"/>
      <c r="H526" s="30"/>
      <c r="I526" s="30"/>
      <c r="J526" s="100"/>
    </row>
    <row r="527">
      <c r="B527" s="60">
        <v>521.0</v>
      </c>
      <c r="C527" s="85"/>
      <c r="D527" s="85"/>
      <c r="E527" s="85"/>
      <c r="F527" s="30"/>
      <c r="G527" s="30"/>
      <c r="H527" s="30"/>
      <c r="I527" s="30"/>
      <c r="J527" s="100"/>
    </row>
    <row r="528">
      <c r="B528" s="60">
        <v>522.0</v>
      </c>
      <c r="C528" s="85"/>
      <c r="D528" s="85"/>
      <c r="E528" s="85"/>
      <c r="F528" s="30"/>
      <c r="G528" s="30"/>
      <c r="H528" s="30"/>
      <c r="I528" s="30"/>
      <c r="J528" s="100"/>
    </row>
    <row r="529">
      <c r="B529" s="60">
        <v>523.0</v>
      </c>
      <c r="C529" s="85"/>
      <c r="D529" s="85"/>
      <c r="E529" s="85"/>
      <c r="F529" s="30"/>
      <c r="G529" s="30"/>
      <c r="H529" s="30"/>
      <c r="I529" s="30"/>
      <c r="J529" s="100"/>
    </row>
    <row r="530">
      <c r="B530" s="60">
        <v>524.0</v>
      </c>
      <c r="C530" s="85"/>
      <c r="D530" s="85"/>
      <c r="E530" s="85"/>
      <c r="F530" s="30"/>
      <c r="G530" s="30"/>
      <c r="H530" s="30"/>
      <c r="I530" s="30"/>
      <c r="J530" s="100"/>
    </row>
    <row r="531">
      <c r="B531" s="60">
        <v>525.0</v>
      </c>
      <c r="C531" s="85"/>
      <c r="D531" s="85"/>
      <c r="E531" s="85"/>
      <c r="F531" s="30"/>
      <c r="G531" s="30"/>
      <c r="H531" s="30"/>
      <c r="I531" s="30"/>
      <c r="J531" s="100"/>
    </row>
    <row r="532">
      <c r="B532" s="60">
        <v>526.0</v>
      </c>
      <c r="C532" s="85"/>
      <c r="D532" s="85"/>
      <c r="E532" s="85"/>
      <c r="F532" s="30"/>
      <c r="G532" s="30"/>
      <c r="H532" s="30"/>
      <c r="I532" s="30"/>
      <c r="J532" s="100"/>
    </row>
    <row r="533">
      <c r="B533" s="60">
        <v>527.0</v>
      </c>
      <c r="C533" s="85"/>
      <c r="D533" s="85"/>
      <c r="E533" s="85"/>
      <c r="F533" s="30"/>
      <c r="G533" s="30"/>
      <c r="H533" s="30"/>
      <c r="I533" s="30"/>
      <c r="J533" s="100"/>
    </row>
    <row r="534">
      <c r="B534" s="60">
        <v>528.0</v>
      </c>
      <c r="C534" s="85"/>
      <c r="D534" s="85"/>
      <c r="E534" s="85"/>
      <c r="F534" s="30"/>
      <c r="G534" s="30"/>
      <c r="H534" s="30"/>
      <c r="I534" s="30"/>
      <c r="J534" s="100"/>
    </row>
    <row r="535">
      <c r="B535" s="60">
        <v>529.0</v>
      </c>
      <c r="C535" s="85"/>
      <c r="D535" s="85"/>
      <c r="E535" s="85"/>
      <c r="F535" s="30"/>
      <c r="G535" s="30"/>
      <c r="H535" s="30"/>
      <c r="I535" s="30"/>
      <c r="J535" s="100"/>
    </row>
    <row r="536">
      <c r="B536" s="60">
        <v>530.0</v>
      </c>
      <c r="C536" s="85"/>
      <c r="D536" s="85"/>
      <c r="E536" s="85"/>
      <c r="F536" s="30"/>
      <c r="G536" s="30"/>
      <c r="H536" s="30"/>
      <c r="I536" s="30"/>
      <c r="J536" s="100"/>
    </row>
    <row r="537">
      <c r="B537" s="60">
        <v>531.0</v>
      </c>
      <c r="C537" s="85"/>
      <c r="D537" s="85"/>
      <c r="E537" s="85"/>
      <c r="F537" s="30"/>
      <c r="G537" s="30"/>
      <c r="H537" s="30"/>
      <c r="I537" s="30"/>
      <c r="J537" s="100"/>
    </row>
    <row r="538">
      <c r="B538" s="60">
        <v>532.0</v>
      </c>
      <c r="C538" s="85"/>
      <c r="D538" s="85"/>
      <c r="E538" s="85"/>
      <c r="F538" s="30"/>
      <c r="G538" s="30"/>
      <c r="H538" s="30"/>
      <c r="I538" s="30"/>
      <c r="J538" s="100"/>
    </row>
    <row r="539">
      <c r="B539" s="60">
        <v>533.0</v>
      </c>
      <c r="C539" s="85"/>
      <c r="D539" s="85"/>
      <c r="E539" s="85"/>
      <c r="F539" s="30"/>
      <c r="G539" s="30"/>
      <c r="H539" s="30"/>
      <c r="I539" s="30"/>
      <c r="J539" s="100"/>
    </row>
    <row r="540">
      <c r="B540" s="60">
        <v>534.0</v>
      </c>
      <c r="C540" s="85"/>
      <c r="D540" s="85"/>
      <c r="E540" s="85"/>
      <c r="F540" s="30"/>
      <c r="G540" s="30"/>
      <c r="H540" s="30"/>
      <c r="I540" s="30"/>
      <c r="J540" s="100"/>
    </row>
    <row r="541">
      <c r="B541" s="60">
        <v>535.0</v>
      </c>
      <c r="C541" s="85"/>
      <c r="D541" s="85"/>
      <c r="E541" s="85"/>
      <c r="F541" s="30"/>
      <c r="G541" s="30"/>
      <c r="H541" s="30"/>
      <c r="I541" s="30"/>
      <c r="J541" s="100"/>
    </row>
    <row r="542">
      <c r="B542" s="60">
        <v>536.0</v>
      </c>
      <c r="C542" s="85"/>
      <c r="D542" s="85"/>
      <c r="E542" s="85"/>
      <c r="F542" s="30"/>
      <c r="G542" s="30"/>
      <c r="H542" s="30"/>
      <c r="I542" s="30"/>
      <c r="J542" s="100"/>
    </row>
    <row r="543">
      <c r="B543" s="60">
        <v>537.0</v>
      </c>
      <c r="C543" s="85"/>
      <c r="D543" s="85"/>
      <c r="E543" s="85"/>
      <c r="F543" s="30"/>
      <c r="G543" s="30"/>
      <c r="H543" s="30"/>
      <c r="I543" s="30"/>
      <c r="J543" s="100"/>
    </row>
    <row r="544">
      <c r="B544" s="60">
        <v>538.0</v>
      </c>
      <c r="C544" s="85"/>
      <c r="D544" s="85"/>
      <c r="E544" s="85"/>
      <c r="F544" s="30"/>
      <c r="G544" s="30"/>
      <c r="H544" s="30"/>
      <c r="I544" s="30"/>
      <c r="J544" s="100"/>
    </row>
    <row r="545">
      <c r="B545" s="60">
        <v>539.0</v>
      </c>
      <c r="C545" s="85"/>
      <c r="D545" s="85"/>
      <c r="E545" s="85"/>
      <c r="F545" s="30"/>
      <c r="G545" s="30"/>
      <c r="H545" s="30"/>
      <c r="I545" s="30"/>
      <c r="J545" s="100"/>
    </row>
    <row r="546">
      <c r="B546" s="60">
        <v>540.0</v>
      </c>
      <c r="C546" s="85"/>
      <c r="D546" s="85"/>
      <c r="E546" s="85"/>
      <c r="F546" s="30"/>
      <c r="G546" s="30"/>
      <c r="H546" s="30"/>
      <c r="I546" s="30"/>
      <c r="J546" s="100"/>
    </row>
    <row r="547">
      <c r="B547" s="60">
        <v>541.0</v>
      </c>
      <c r="C547" s="85"/>
      <c r="D547" s="85"/>
      <c r="E547" s="85"/>
      <c r="F547" s="30"/>
      <c r="G547" s="30"/>
      <c r="H547" s="30"/>
      <c r="I547" s="30"/>
      <c r="J547" s="100"/>
    </row>
    <row r="548">
      <c r="B548" s="60">
        <v>542.0</v>
      </c>
      <c r="C548" s="85"/>
      <c r="D548" s="85"/>
      <c r="E548" s="85"/>
      <c r="F548" s="30"/>
      <c r="G548" s="30"/>
      <c r="H548" s="30"/>
      <c r="I548" s="30"/>
      <c r="J548" s="100"/>
    </row>
    <row r="549">
      <c r="B549" s="60">
        <v>543.0</v>
      </c>
      <c r="C549" s="85"/>
      <c r="D549" s="85"/>
      <c r="E549" s="85"/>
      <c r="F549" s="30"/>
      <c r="G549" s="30"/>
      <c r="H549" s="30"/>
      <c r="I549" s="30"/>
      <c r="J549" s="100"/>
    </row>
    <row r="550">
      <c r="B550" s="60">
        <v>544.0</v>
      </c>
      <c r="C550" s="85"/>
      <c r="D550" s="85"/>
      <c r="E550" s="85"/>
      <c r="F550" s="30"/>
      <c r="G550" s="30"/>
      <c r="H550" s="30"/>
      <c r="I550" s="30"/>
      <c r="J550" s="100"/>
    </row>
    <row r="551">
      <c r="B551" s="60">
        <v>545.0</v>
      </c>
      <c r="C551" s="85"/>
      <c r="D551" s="85"/>
      <c r="E551" s="85"/>
      <c r="F551" s="30"/>
      <c r="G551" s="30"/>
      <c r="H551" s="30"/>
      <c r="I551" s="30"/>
      <c r="J551" s="100"/>
    </row>
    <row r="552">
      <c r="B552" s="60">
        <v>546.0</v>
      </c>
      <c r="C552" s="85"/>
      <c r="D552" s="85"/>
      <c r="E552" s="85"/>
      <c r="F552" s="30"/>
      <c r="G552" s="30"/>
      <c r="H552" s="30"/>
      <c r="I552" s="30"/>
      <c r="J552" s="100"/>
    </row>
    <row r="553">
      <c r="B553" s="60">
        <v>547.0</v>
      </c>
      <c r="C553" s="85"/>
      <c r="D553" s="85"/>
      <c r="E553" s="85"/>
      <c r="F553" s="30"/>
      <c r="G553" s="30"/>
      <c r="H553" s="30"/>
      <c r="I553" s="30"/>
      <c r="J553" s="100"/>
    </row>
    <row r="554">
      <c r="B554" s="60">
        <v>548.0</v>
      </c>
      <c r="C554" s="85"/>
      <c r="D554" s="85"/>
      <c r="E554" s="85"/>
      <c r="F554" s="30"/>
      <c r="G554" s="30"/>
      <c r="H554" s="30"/>
      <c r="I554" s="30"/>
      <c r="J554" s="100"/>
    </row>
    <row r="555">
      <c r="B555" s="60">
        <v>549.0</v>
      </c>
      <c r="C555" s="85"/>
      <c r="D555" s="85"/>
      <c r="E555" s="85"/>
      <c r="F555" s="30"/>
      <c r="G555" s="30"/>
      <c r="H555" s="30"/>
      <c r="I555" s="30"/>
      <c r="J555" s="100"/>
    </row>
    <row r="556">
      <c r="B556" s="60">
        <v>550.0</v>
      </c>
      <c r="C556" s="85"/>
      <c r="D556" s="85"/>
      <c r="E556" s="85"/>
      <c r="F556" s="30"/>
      <c r="G556" s="30"/>
      <c r="H556" s="30"/>
      <c r="I556" s="30"/>
      <c r="J556" s="100"/>
    </row>
    <row r="557">
      <c r="B557" s="60">
        <v>551.0</v>
      </c>
      <c r="C557" s="27" t="s">
        <v>698</v>
      </c>
      <c r="D557" s="27">
        <v>54.0</v>
      </c>
      <c r="E557" s="27" t="s">
        <v>699</v>
      </c>
      <c r="F557" s="27">
        <v>67.0</v>
      </c>
      <c r="G557" s="27" t="s">
        <v>700</v>
      </c>
      <c r="H557" s="27">
        <v>68.0</v>
      </c>
      <c r="I557" s="27"/>
      <c r="J557" s="102"/>
    </row>
    <row r="558">
      <c r="B558" s="60">
        <v>552.0</v>
      </c>
      <c r="C558" s="85"/>
      <c r="D558" s="85"/>
      <c r="E558" s="85"/>
      <c r="F558" s="30"/>
      <c r="G558" s="30"/>
      <c r="H558" s="30"/>
      <c r="I558" s="30"/>
      <c r="J558" s="100"/>
    </row>
    <row r="559">
      <c r="B559" s="60">
        <v>553.0</v>
      </c>
      <c r="C559" s="85"/>
      <c r="D559" s="85"/>
      <c r="E559" s="85"/>
      <c r="F559" s="30"/>
      <c r="G559" s="30"/>
      <c r="H559" s="30"/>
      <c r="I559" s="30"/>
      <c r="J559" s="100"/>
    </row>
    <row r="560">
      <c r="B560" s="60">
        <v>554.0</v>
      </c>
      <c r="C560" s="85"/>
      <c r="D560" s="85"/>
      <c r="E560" s="85"/>
      <c r="F560" s="30"/>
      <c r="G560" s="30"/>
      <c r="H560" s="30"/>
      <c r="I560" s="30"/>
      <c r="J560" s="100"/>
    </row>
    <row r="561">
      <c r="B561" s="60">
        <v>555.0</v>
      </c>
      <c r="C561" s="85"/>
      <c r="D561" s="85"/>
      <c r="E561" s="85"/>
      <c r="F561" s="30"/>
      <c r="G561" s="30"/>
      <c r="H561" s="30"/>
      <c r="I561" s="30"/>
      <c r="J561" s="100"/>
    </row>
    <row r="562">
      <c r="B562" s="60">
        <v>556.0</v>
      </c>
      <c r="C562" s="85"/>
      <c r="D562" s="85"/>
      <c r="E562" s="85"/>
      <c r="F562" s="30"/>
      <c r="G562" s="30"/>
      <c r="H562" s="30"/>
      <c r="I562" s="30"/>
      <c r="J562" s="100"/>
    </row>
    <row r="563">
      <c r="B563" s="60">
        <v>557.0</v>
      </c>
      <c r="C563" s="85"/>
      <c r="D563" s="85"/>
      <c r="E563" s="85"/>
      <c r="F563" s="30"/>
      <c r="G563" s="30"/>
      <c r="H563" s="30"/>
      <c r="I563" s="30"/>
      <c r="J563" s="100"/>
    </row>
    <row r="564">
      <c r="B564" s="60">
        <v>558.0</v>
      </c>
      <c r="C564" s="85"/>
      <c r="D564" s="85"/>
      <c r="E564" s="85"/>
      <c r="F564" s="30"/>
      <c r="G564" s="30"/>
      <c r="H564" s="30"/>
      <c r="I564" s="30"/>
      <c r="J564" s="100"/>
    </row>
    <row r="565">
      <c r="B565" s="60">
        <v>559.0</v>
      </c>
      <c r="C565" s="85"/>
      <c r="D565" s="85"/>
      <c r="E565" s="85"/>
      <c r="F565" s="30"/>
      <c r="G565" s="30"/>
      <c r="H565" s="30"/>
      <c r="I565" s="30"/>
      <c r="J565" s="100"/>
    </row>
    <row r="566">
      <c r="B566" s="60">
        <v>560.0</v>
      </c>
      <c r="C566" s="85"/>
      <c r="D566" s="85"/>
      <c r="E566" s="85"/>
      <c r="F566" s="30"/>
      <c r="G566" s="30"/>
      <c r="H566" s="30"/>
      <c r="I566" s="30"/>
      <c r="J566" s="100"/>
    </row>
    <row r="567">
      <c r="B567" s="60">
        <v>561.0</v>
      </c>
      <c r="C567" s="85"/>
      <c r="D567" s="85"/>
      <c r="E567" s="85"/>
      <c r="F567" s="30"/>
      <c r="G567" s="30"/>
      <c r="H567" s="30"/>
      <c r="I567" s="30"/>
      <c r="J567" s="100"/>
    </row>
    <row r="568">
      <c r="B568" s="60">
        <v>562.0</v>
      </c>
      <c r="C568" s="85"/>
      <c r="D568" s="85"/>
      <c r="E568" s="85"/>
      <c r="F568" s="30"/>
      <c r="G568" s="30"/>
      <c r="H568" s="30"/>
      <c r="I568" s="30"/>
      <c r="J568" s="100"/>
    </row>
    <row r="569">
      <c r="B569" s="60">
        <v>563.0</v>
      </c>
      <c r="C569" s="85"/>
      <c r="D569" s="85"/>
      <c r="E569" s="85"/>
      <c r="F569" s="30"/>
      <c r="G569" s="30"/>
      <c r="H569" s="30"/>
      <c r="I569" s="30"/>
      <c r="J569" s="100"/>
    </row>
    <row r="570">
      <c r="B570" s="60">
        <v>564.0</v>
      </c>
      <c r="C570" s="85"/>
      <c r="D570" s="85"/>
      <c r="E570" s="85"/>
      <c r="F570" s="30"/>
      <c r="G570" s="30"/>
      <c r="H570" s="30"/>
      <c r="I570" s="30"/>
      <c r="J570" s="100"/>
    </row>
    <row r="571">
      <c r="B571" s="60">
        <v>565.0</v>
      </c>
      <c r="C571" s="85"/>
      <c r="D571" s="85"/>
      <c r="E571" s="85"/>
      <c r="F571" s="30"/>
      <c r="G571" s="30"/>
      <c r="H571" s="30"/>
      <c r="I571" s="30"/>
      <c r="J571" s="100"/>
    </row>
    <row r="572">
      <c r="B572" s="60">
        <v>566.0</v>
      </c>
      <c r="C572" s="85"/>
      <c r="D572" s="85"/>
      <c r="E572" s="85"/>
      <c r="F572" s="30"/>
      <c r="G572" s="30"/>
      <c r="H572" s="30"/>
      <c r="I572" s="30"/>
      <c r="J572" s="100"/>
    </row>
    <row r="573">
      <c r="B573" s="60">
        <v>567.0</v>
      </c>
      <c r="C573" s="85"/>
      <c r="D573" s="85"/>
      <c r="E573" s="85"/>
      <c r="F573" s="30"/>
      <c r="G573" s="30"/>
      <c r="H573" s="30"/>
      <c r="I573" s="30"/>
      <c r="J573" s="100"/>
    </row>
    <row r="574">
      <c r="B574" s="60">
        <v>568.0</v>
      </c>
      <c r="C574" s="85"/>
      <c r="D574" s="85"/>
      <c r="E574" s="85"/>
      <c r="F574" s="30"/>
      <c r="G574" s="30"/>
      <c r="H574" s="30"/>
      <c r="I574" s="30"/>
      <c r="J574" s="100"/>
    </row>
    <row r="575">
      <c r="B575" s="60">
        <v>569.0</v>
      </c>
      <c r="C575" s="85"/>
      <c r="D575" s="85"/>
      <c r="E575" s="85"/>
      <c r="F575" s="30"/>
      <c r="G575" s="30"/>
      <c r="H575" s="30"/>
      <c r="I575" s="30"/>
      <c r="J575" s="100"/>
    </row>
    <row r="576">
      <c r="B576" s="60">
        <v>570.0</v>
      </c>
      <c r="C576" s="85"/>
      <c r="D576" s="85"/>
      <c r="E576" s="85"/>
      <c r="F576" s="30"/>
      <c r="G576" s="30"/>
      <c r="H576" s="30"/>
      <c r="I576" s="30"/>
      <c r="J576" s="100"/>
    </row>
    <row r="577">
      <c r="B577" s="60">
        <v>571.0</v>
      </c>
      <c r="C577" s="85"/>
      <c r="D577" s="85"/>
      <c r="E577" s="85"/>
      <c r="F577" s="30"/>
      <c r="G577" s="30"/>
      <c r="H577" s="30"/>
      <c r="I577" s="30"/>
      <c r="J577" s="100"/>
    </row>
    <row r="578">
      <c r="B578" s="60">
        <v>572.0</v>
      </c>
      <c r="C578" s="85"/>
      <c r="D578" s="85"/>
      <c r="E578" s="85"/>
      <c r="F578" s="30"/>
      <c r="G578" s="30"/>
      <c r="H578" s="30"/>
      <c r="I578" s="30"/>
      <c r="J578" s="100"/>
    </row>
    <row r="579">
      <c r="B579" s="60">
        <v>573.0</v>
      </c>
      <c r="C579" s="85"/>
      <c r="D579" s="85"/>
      <c r="E579" s="85"/>
      <c r="F579" s="30"/>
      <c r="G579" s="30"/>
      <c r="H579" s="30"/>
      <c r="I579" s="30"/>
      <c r="J579" s="100"/>
    </row>
    <row r="580">
      <c r="B580" s="60">
        <v>574.0</v>
      </c>
      <c r="C580" s="85"/>
      <c r="D580" s="85"/>
      <c r="E580" s="85"/>
      <c r="F580" s="30"/>
      <c r="G580" s="30"/>
      <c r="H580" s="30"/>
      <c r="I580" s="30"/>
      <c r="J580" s="100"/>
    </row>
    <row r="581">
      <c r="B581" s="60">
        <v>575.0</v>
      </c>
      <c r="C581" s="85"/>
      <c r="D581" s="85"/>
      <c r="E581" s="85"/>
      <c r="F581" s="30"/>
      <c r="G581" s="30"/>
      <c r="H581" s="30"/>
      <c r="I581" s="30"/>
      <c r="J581" s="100"/>
    </row>
    <row r="582">
      <c r="B582" s="60">
        <v>576.0</v>
      </c>
      <c r="C582" s="85"/>
      <c r="D582" s="85"/>
      <c r="E582" s="85"/>
      <c r="F582" s="30"/>
      <c r="G582" s="30"/>
      <c r="H582" s="30"/>
      <c r="I582" s="30"/>
      <c r="J582" s="100"/>
    </row>
    <row r="583">
      <c r="B583" s="60">
        <v>577.0</v>
      </c>
      <c r="C583" s="85"/>
      <c r="D583" s="85"/>
      <c r="E583" s="85"/>
      <c r="F583" s="30"/>
      <c r="G583" s="30"/>
      <c r="H583" s="30"/>
      <c r="I583" s="30"/>
      <c r="J583" s="100"/>
    </row>
    <row r="584">
      <c r="B584" s="60">
        <v>578.0</v>
      </c>
      <c r="C584" s="85"/>
      <c r="D584" s="85"/>
      <c r="E584" s="85"/>
      <c r="F584" s="30"/>
      <c r="G584" s="30"/>
      <c r="H584" s="30"/>
      <c r="I584" s="30"/>
      <c r="J584" s="100"/>
    </row>
    <row r="585">
      <c r="B585" s="60">
        <v>579.0</v>
      </c>
      <c r="C585" s="85"/>
      <c r="D585" s="85"/>
      <c r="E585" s="85"/>
      <c r="F585" s="30"/>
      <c r="G585" s="30"/>
      <c r="H585" s="30"/>
      <c r="I585" s="30"/>
      <c r="J585" s="100"/>
    </row>
    <row r="586">
      <c r="B586" s="60">
        <v>580.0</v>
      </c>
      <c r="C586" s="85"/>
      <c r="D586" s="85"/>
      <c r="E586" s="85"/>
      <c r="F586" s="30"/>
      <c r="G586" s="30"/>
      <c r="H586" s="30"/>
      <c r="I586" s="30"/>
      <c r="J586" s="100"/>
    </row>
    <row r="587">
      <c r="B587" s="60">
        <v>581.0</v>
      </c>
      <c r="C587" s="85"/>
      <c r="D587" s="85"/>
      <c r="E587" s="85"/>
      <c r="F587" s="30"/>
      <c r="G587" s="30"/>
      <c r="H587" s="30"/>
      <c r="I587" s="30"/>
      <c r="J587" s="100"/>
    </row>
    <row r="588">
      <c r="B588" s="60">
        <v>582.0</v>
      </c>
      <c r="C588" s="85"/>
      <c r="D588" s="85"/>
      <c r="E588" s="85"/>
      <c r="F588" s="30"/>
      <c r="G588" s="30"/>
      <c r="H588" s="30"/>
      <c r="I588" s="30"/>
      <c r="J588" s="100"/>
    </row>
    <row r="589">
      <c r="B589" s="60">
        <v>583.0</v>
      </c>
      <c r="C589" s="85"/>
      <c r="D589" s="85"/>
      <c r="E589" s="85"/>
      <c r="F589" s="30"/>
      <c r="G589" s="30"/>
      <c r="H589" s="30"/>
      <c r="I589" s="30"/>
      <c r="J589" s="100"/>
    </row>
    <row r="590">
      <c r="B590" s="60">
        <v>584.0</v>
      </c>
      <c r="C590" s="85"/>
      <c r="D590" s="85"/>
      <c r="E590" s="85"/>
      <c r="F590" s="30"/>
      <c r="G590" s="30"/>
      <c r="H590" s="30"/>
      <c r="I590" s="30"/>
      <c r="J590" s="100"/>
    </row>
    <row r="591">
      <c r="B591" s="60">
        <v>585.0</v>
      </c>
      <c r="C591" s="85"/>
      <c r="D591" s="85"/>
      <c r="E591" s="85"/>
      <c r="F591" s="30"/>
      <c r="G591" s="30"/>
      <c r="H591" s="30"/>
      <c r="I591" s="30"/>
      <c r="J591" s="100"/>
    </row>
    <row r="592">
      <c r="B592" s="60">
        <v>586.0</v>
      </c>
      <c r="C592" s="85"/>
      <c r="D592" s="85"/>
      <c r="E592" s="85"/>
      <c r="F592" s="30"/>
      <c r="G592" s="30"/>
      <c r="H592" s="30"/>
      <c r="I592" s="30"/>
      <c r="J592" s="100"/>
    </row>
    <row r="593">
      <c r="B593" s="60">
        <v>587.0</v>
      </c>
      <c r="C593" s="85"/>
      <c r="D593" s="85"/>
      <c r="E593" s="85"/>
      <c r="F593" s="30"/>
      <c r="G593" s="30"/>
      <c r="H593" s="30"/>
      <c r="I593" s="30"/>
      <c r="J593" s="100"/>
    </row>
    <row r="594">
      <c r="B594" s="60">
        <v>588.0</v>
      </c>
      <c r="C594" s="85"/>
      <c r="D594" s="85"/>
      <c r="E594" s="85"/>
      <c r="F594" s="30"/>
      <c r="G594" s="30"/>
      <c r="H594" s="30"/>
      <c r="I594" s="30"/>
      <c r="J594" s="100"/>
    </row>
    <row r="595">
      <c r="B595" s="60">
        <v>589.0</v>
      </c>
      <c r="C595" s="85"/>
      <c r="D595" s="85"/>
      <c r="E595" s="85"/>
      <c r="F595" s="30"/>
      <c r="G595" s="30"/>
      <c r="H595" s="30"/>
      <c r="I595" s="30"/>
      <c r="J595" s="100"/>
    </row>
    <row r="596">
      <c r="B596" s="60">
        <v>590.0</v>
      </c>
      <c r="C596" s="85"/>
      <c r="D596" s="85"/>
      <c r="E596" s="85"/>
      <c r="F596" s="30"/>
      <c r="G596" s="30"/>
      <c r="H596" s="30"/>
      <c r="I596" s="30"/>
      <c r="J596" s="100"/>
    </row>
    <row r="597">
      <c r="B597" s="60">
        <v>591.0</v>
      </c>
      <c r="C597" s="85"/>
      <c r="D597" s="85"/>
      <c r="E597" s="85"/>
      <c r="F597" s="30"/>
      <c r="G597" s="30"/>
      <c r="H597" s="30"/>
      <c r="I597" s="30"/>
      <c r="J597" s="100"/>
    </row>
    <row r="598">
      <c r="B598" s="60">
        <v>592.0</v>
      </c>
      <c r="C598" s="85"/>
      <c r="D598" s="85"/>
      <c r="E598" s="85"/>
      <c r="F598" s="30"/>
      <c r="G598" s="30"/>
      <c r="H598" s="30"/>
      <c r="I598" s="30"/>
      <c r="J598" s="100"/>
    </row>
    <row r="599">
      <c r="B599" s="60">
        <v>593.0</v>
      </c>
      <c r="C599" s="85"/>
      <c r="D599" s="85"/>
      <c r="E599" s="85"/>
      <c r="F599" s="30"/>
      <c r="G599" s="30"/>
      <c r="H599" s="30"/>
      <c r="I599" s="30"/>
      <c r="J599" s="100"/>
    </row>
    <row r="600">
      <c r="B600" s="60">
        <v>594.0</v>
      </c>
      <c r="C600" s="85"/>
      <c r="D600" s="85"/>
      <c r="E600" s="85"/>
      <c r="F600" s="30"/>
      <c r="G600" s="30"/>
      <c r="H600" s="30"/>
      <c r="I600" s="30"/>
      <c r="J600" s="100"/>
    </row>
    <row r="601">
      <c r="B601" s="60">
        <v>595.0</v>
      </c>
      <c r="C601" s="85"/>
      <c r="D601" s="85"/>
      <c r="E601" s="85"/>
      <c r="F601" s="30"/>
      <c r="G601" s="30"/>
      <c r="H601" s="30"/>
      <c r="I601" s="30"/>
      <c r="J601" s="100"/>
    </row>
    <row r="602">
      <c r="B602" s="60">
        <v>596.0</v>
      </c>
      <c r="C602" s="85"/>
      <c r="D602" s="85"/>
      <c r="E602" s="85"/>
      <c r="F602" s="30"/>
      <c r="G602" s="30"/>
      <c r="H602" s="30"/>
      <c r="I602" s="30"/>
      <c r="J602" s="100"/>
    </row>
    <row r="603">
      <c r="B603" s="60">
        <v>597.0</v>
      </c>
      <c r="C603" s="85"/>
      <c r="D603" s="85"/>
      <c r="E603" s="85"/>
      <c r="F603" s="30"/>
      <c r="G603" s="30"/>
      <c r="H603" s="30"/>
      <c r="I603" s="30"/>
      <c r="J603" s="100"/>
    </row>
    <row r="604">
      <c r="B604" s="60">
        <v>598.0</v>
      </c>
      <c r="C604" s="85"/>
      <c r="D604" s="85"/>
      <c r="E604" s="85"/>
      <c r="F604" s="30"/>
      <c r="G604" s="30"/>
      <c r="H604" s="30"/>
      <c r="I604" s="30"/>
      <c r="J604" s="100"/>
    </row>
    <row r="605">
      <c r="B605" s="60">
        <v>599.0</v>
      </c>
      <c r="C605" s="85"/>
      <c r="D605" s="85"/>
      <c r="E605" s="85"/>
      <c r="F605" s="30"/>
      <c r="G605" s="30"/>
      <c r="H605" s="30"/>
      <c r="I605" s="30"/>
      <c r="J605" s="100"/>
    </row>
    <row r="606">
      <c r="B606" s="60">
        <v>600.0</v>
      </c>
      <c r="C606" s="85"/>
      <c r="D606" s="85"/>
      <c r="E606" s="85"/>
      <c r="F606" s="30"/>
      <c r="G606" s="30"/>
      <c r="H606" s="30"/>
      <c r="I606" s="30"/>
      <c r="J606" s="100"/>
    </row>
    <row r="607">
      <c r="B607" s="60">
        <v>601.0</v>
      </c>
      <c r="C607" s="85"/>
      <c r="D607" s="85"/>
      <c r="E607" s="85"/>
      <c r="F607" s="30"/>
      <c r="G607" s="30"/>
      <c r="H607" s="30"/>
      <c r="I607" s="30"/>
      <c r="J607" s="100"/>
    </row>
    <row r="608">
      <c r="B608" s="60">
        <v>602.0</v>
      </c>
      <c r="C608" s="85"/>
      <c r="D608" s="85"/>
      <c r="E608" s="85"/>
      <c r="F608" s="30"/>
      <c r="G608" s="30"/>
      <c r="H608" s="30"/>
      <c r="I608" s="30"/>
      <c r="J608" s="100"/>
    </row>
    <row r="609">
      <c r="B609" s="60">
        <v>603.0</v>
      </c>
      <c r="C609" s="85"/>
      <c r="D609" s="85"/>
      <c r="E609" s="85"/>
      <c r="F609" s="30"/>
      <c r="G609" s="30"/>
      <c r="H609" s="30"/>
      <c r="I609" s="30"/>
      <c r="J609" s="100"/>
    </row>
    <row r="610">
      <c r="B610" s="60">
        <v>604.0</v>
      </c>
      <c r="C610" s="85"/>
      <c r="D610" s="85"/>
      <c r="E610" s="85"/>
      <c r="F610" s="30"/>
      <c r="G610" s="30"/>
      <c r="H610" s="30"/>
      <c r="I610" s="30"/>
      <c r="J610" s="100"/>
    </row>
    <row r="611">
      <c r="B611" s="60">
        <v>605.0</v>
      </c>
      <c r="C611" s="85"/>
      <c r="D611" s="85"/>
      <c r="E611" s="85"/>
      <c r="F611" s="30"/>
      <c r="G611" s="30"/>
      <c r="H611" s="30"/>
      <c r="I611" s="30"/>
      <c r="J611" s="100"/>
    </row>
    <row r="612">
      <c r="B612" s="60">
        <v>606.0</v>
      </c>
      <c r="C612" s="85"/>
      <c r="D612" s="85"/>
      <c r="E612" s="85"/>
      <c r="F612" s="30"/>
      <c r="G612" s="30"/>
      <c r="H612" s="30"/>
      <c r="I612" s="30"/>
      <c r="J612" s="100"/>
    </row>
    <row r="613">
      <c r="B613" s="60">
        <v>607.0</v>
      </c>
      <c r="C613" s="85"/>
      <c r="D613" s="85"/>
      <c r="E613" s="85"/>
      <c r="F613" s="30"/>
      <c r="G613" s="30"/>
      <c r="H613" s="30"/>
      <c r="I613" s="30"/>
      <c r="J613" s="100"/>
    </row>
    <row r="614">
      <c r="B614" s="60">
        <v>608.0</v>
      </c>
      <c r="C614" s="85"/>
      <c r="D614" s="85"/>
      <c r="E614" s="85"/>
      <c r="F614" s="30"/>
      <c r="G614" s="30"/>
      <c r="H614" s="30"/>
      <c r="I614" s="30"/>
      <c r="J614" s="100"/>
    </row>
    <row r="615">
      <c r="B615" s="60">
        <v>609.0</v>
      </c>
      <c r="C615" s="85"/>
      <c r="D615" s="85"/>
      <c r="E615" s="85"/>
      <c r="F615" s="30"/>
      <c r="G615" s="30"/>
      <c r="H615" s="30"/>
      <c r="I615" s="30"/>
      <c r="J615" s="100"/>
    </row>
    <row r="616">
      <c r="B616" s="60">
        <v>610.0</v>
      </c>
      <c r="C616" s="85"/>
      <c r="D616" s="85"/>
      <c r="E616" s="85"/>
      <c r="F616" s="30"/>
      <c r="G616" s="30"/>
      <c r="H616" s="30"/>
      <c r="I616" s="30"/>
      <c r="J616" s="100"/>
    </row>
    <row r="617">
      <c r="B617" s="60">
        <v>611.0</v>
      </c>
      <c r="C617" s="85"/>
      <c r="D617" s="85"/>
      <c r="E617" s="85"/>
      <c r="F617" s="30"/>
      <c r="G617" s="30"/>
      <c r="H617" s="30"/>
      <c r="I617" s="30"/>
      <c r="J617" s="100"/>
    </row>
    <row r="618">
      <c r="B618" s="60">
        <v>612.0</v>
      </c>
      <c r="C618" s="85"/>
      <c r="D618" s="85"/>
      <c r="E618" s="85"/>
      <c r="F618" s="30"/>
      <c r="G618" s="30"/>
      <c r="H618" s="30"/>
      <c r="I618" s="30"/>
      <c r="J618" s="100"/>
    </row>
    <row r="619">
      <c r="B619" s="60">
        <v>613.0</v>
      </c>
      <c r="C619" s="85"/>
      <c r="D619" s="85"/>
      <c r="E619" s="85"/>
      <c r="F619" s="30"/>
      <c r="G619" s="30"/>
      <c r="H619" s="30"/>
      <c r="I619" s="30"/>
      <c r="J619" s="100"/>
    </row>
    <row r="620">
      <c r="B620" s="78">
        <v>614.0</v>
      </c>
      <c r="C620" s="103"/>
      <c r="D620" s="103"/>
      <c r="E620" s="103"/>
      <c r="F620" s="91"/>
      <c r="G620" s="91"/>
      <c r="H620" s="91"/>
      <c r="I620" s="91"/>
      <c r="J620" s="104"/>
    </row>
    <row r="621">
      <c r="B621" s="35"/>
      <c r="C621" s="35"/>
      <c r="D621" s="35"/>
      <c r="G621" s="29"/>
      <c r="H621" s="29"/>
    </row>
    <row r="622">
      <c r="B622" s="35"/>
      <c r="C622" s="35"/>
      <c r="D622" s="35"/>
      <c r="G622" s="29"/>
      <c r="H622" s="29"/>
    </row>
    <row r="623">
      <c r="B623" s="35"/>
      <c r="C623" s="35"/>
      <c r="D623" s="35"/>
      <c r="G623" s="29"/>
      <c r="H623" s="29"/>
    </row>
    <row r="624">
      <c r="B624" s="35"/>
      <c r="C624" s="35"/>
      <c r="D624" s="35"/>
      <c r="G624" s="29"/>
      <c r="H624" s="29"/>
    </row>
    <row r="625">
      <c r="B625" s="35"/>
      <c r="C625" s="35"/>
      <c r="D625" s="35"/>
      <c r="G625" s="29"/>
      <c r="H625" s="29"/>
    </row>
  </sheetData>
  <mergeCells count="10">
    <mergeCell ref="H4:H5"/>
    <mergeCell ref="I4:I5"/>
    <mergeCell ref="B2:J3"/>
    <mergeCell ref="B4:B5"/>
    <mergeCell ref="C4:C5"/>
    <mergeCell ref="D4:D5"/>
    <mergeCell ref="E4:E5"/>
    <mergeCell ref="F4:F5"/>
    <mergeCell ref="G4:G5"/>
    <mergeCell ref="J4:J5"/>
  </mergeCells>
  <drawing r:id="rId1"/>
</worksheet>
</file>