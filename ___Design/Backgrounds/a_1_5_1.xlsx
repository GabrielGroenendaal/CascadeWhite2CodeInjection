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51 file 0" sheetId="1" r:id="rId5"/>
    <sheet state="visible" name="a151 file 1" sheetId="2" r:id="rId6"/>
    <sheet state="hidden" name="a151 file 2" sheetId="3" r:id="rId7"/>
    <sheet state="visible" name="Zone ID to Background ID " sheetId="4" r:id="rId8"/>
    <sheet state="hidden" name="New Files" sheetId="5" r:id="rId9"/>
    <sheet state="hidden" name="Map Fixing" sheetId="6" r:id="rId10"/>
    <sheet state="visible" name="Copy of Map Fixing" sheetId="7" r:id="rId11"/>
    <sheet state="visible" name="New a151 file 0" sheetId="8" r:id="rId12"/>
    <sheet state="visible" name="New a151 file 1" sheetId="9" r:id="rId13"/>
    <sheet state="visible" name="New a151 file 2" sheetId="10" r:id="rId14"/>
  </sheets>
  <definedNames/>
  <calcPr/>
</workbook>
</file>

<file path=xl/sharedStrings.xml><?xml version="1.0" encoding="utf-8"?>
<sst xmlns="http://schemas.openxmlformats.org/spreadsheetml/2006/main" count="2108" uniqueCount="327">
  <si>
    <t>Vanilla Output</t>
  </si>
  <si>
    <t>Modified Output</t>
  </si>
  <si>
    <t>Skyla Split Output</t>
  </si>
  <si>
    <t>ID</t>
  </si>
  <si>
    <t>Name</t>
  </si>
  <si>
    <t>Uses</t>
  </si>
  <si>
    <t>Background ID</t>
  </si>
  <si>
    <t>Platform ID</t>
  </si>
  <si>
    <t>Padding</t>
  </si>
  <si>
    <t>Time</t>
  </si>
  <si>
    <t>Season</t>
  </si>
  <si>
    <t>Grass</t>
  </si>
  <si>
    <t>Ground</t>
  </si>
  <si>
    <t>Grd S1</t>
  </si>
  <si>
    <t>Grd S2</t>
  </si>
  <si>
    <t>Normal</t>
  </si>
  <si>
    <t>Enc Gr</t>
  </si>
  <si>
    <t>Water</t>
  </si>
  <si>
    <t>Snow</t>
  </si>
  <si>
    <t>Sand</t>
  </si>
  <si>
    <t>Marsh</t>
  </si>
  <si>
    <t>Cave</t>
  </si>
  <si>
    <t>Puddle</t>
  </si>
  <si>
    <t>Shallow</t>
  </si>
  <si>
    <t>Ice</t>
  </si>
  <si>
    <t>Enc Ind</t>
  </si>
  <si>
    <t>Palace</t>
  </si>
  <si>
    <t>Ghetsis</t>
  </si>
  <si>
    <t>Leaves</t>
  </si>
  <si>
    <t>BTower</t>
  </si>
  <si>
    <t>WHollo</t>
  </si>
  <si>
    <t>Grass Season</t>
  </si>
  <si>
    <t>City</t>
  </si>
  <si>
    <t>City Season</t>
  </si>
  <si>
    <t>Dark Cave</t>
  </si>
  <si>
    <t>Forest</t>
  </si>
  <si>
    <t>Mountain</t>
  </si>
  <si>
    <t>Ocean</t>
  </si>
  <si>
    <t>Indoors</t>
  </si>
  <si>
    <t>Shauntel</t>
  </si>
  <si>
    <t>Marshal</t>
  </si>
  <si>
    <t>Grimsley</t>
  </si>
  <si>
    <t>Caitlyn</t>
  </si>
  <si>
    <t>N's Castle</t>
  </si>
  <si>
    <t>Champion</t>
  </si>
  <si>
    <t>Dragonspiral</t>
  </si>
  <si>
    <t>PWT</t>
  </si>
  <si>
    <t>Subway</t>
  </si>
  <si>
    <t>Kyurem</t>
  </si>
  <si>
    <t>Testing</t>
  </si>
  <si>
    <t>Route 19</t>
  </si>
  <si>
    <t>Route 20</t>
  </si>
  <si>
    <t>Route 20-East</t>
  </si>
  <si>
    <t>Flocessy Ranch</t>
  </si>
  <si>
    <t>Flocessy Ranch N</t>
  </si>
  <si>
    <t>Pokemon Center</t>
  </si>
  <si>
    <t>Alder's House</t>
  </si>
  <si>
    <t>Pledge Grove</t>
  </si>
  <si>
    <t>Aspertia Gym A</t>
  </si>
  <si>
    <t>Aspertia Gym B</t>
  </si>
  <si>
    <t>Aspertia Gym C</t>
  </si>
  <si>
    <t>Virbank Gate</t>
  </si>
  <si>
    <t>Virbank City</t>
  </si>
  <si>
    <t>Docks (Day)</t>
  </si>
  <si>
    <t>Docks (Sunset)</t>
  </si>
  <si>
    <t>Docks (Night)</t>
  </si>
  <si>
    <t>Aspertia City</t>
  </si>
  <si>
    <t>Complex (Outside)</t>
  </si>
  <si>
    <t>Complex (Inside)</t>
  </si>
  <si>
    <t>Virbank Gym</t>
  </si>
  <si>
    <t>Virbank Leader</t>
  </si>
  <si>
    <t>Battle Company</t>
  </si>
  <si>
    <t>Company HQ</t>
  </si>
  <si>
    <t>Castelia Sewers</t>
  </si>
  <si>
    <t>Relic Passage</t>
  </si>
  <si>
    <t>Castelia Garden</t>
  </si>
  <si>
    <t>Route 4 Streets</t>
  </si>
  <si>
    <t>Route 4 Benga</t>
  </si>
  <si>
    <t>Route 4 Ruins</t>
  </si>
  <si>
    <t>Liberty Daytime</t>
  </si>
  <si>
    <t>Liberty Sunset</t>
  </si>
  <si>
    <t>Liberty Nighttime</t>
  </si>
  <si>
    <t>Castelia Streets</t>
  </si>
  <si>
    <t>Castelia Gym</t>
  </si>
  <si>
    <t>Castelia Leader</t>
  </si>
  <si>
    <t>Resort (Exterior)</t>
  </si>
  <si>
    <t>Resort (Interior)</t>
  </si>
  <si>
    <t>Relic Castle</t>
  </si>
  <si>
    <t>Join Avenue</t>
  </si>
  <si>
    <t>Nimbasa City</t>
  </si>
  <si>
    <t>Route 5</t>
  </si>
  <si>
    <t>Route 5 N</t>
  </si>
  <si>
    <t>Route 16</t>
  </si>
  <si>
    <t>Route 16 N</t>
  </si>
  <si>
    <t>Lostlorn Forest</t>
  </si>
  <si>
    <t>Lostlorn Forest N</t>
  </si>
  <si>
    <t>Nimbasa Old Gym</t>
  </si>
  <si>
    <t>Nimbasa Trainers</t>
  </si>
  <si>
    <t>Nimbasa Gym</t>
  </si>
  <si>
    <t>Anville Town</t>
  </si>
  <si>
    <t>Driftveil Drawbridge</t>
  </si>
  <si>
    <t>Driftveil City</t>
  </si>
  <si>
    <t>Rood</t>
  </si>
  <si>
    <t>Janine</t>
  </si>
  <si>
    <t>City Interior</t>
  </si>
  <si>
    <t>Plasma Sanctuary</t>
  </si>
  <si>
    <t>Route 6</t>
  </si>
  <si>
    <t>Route 6 North</t>
  </si>
  <si>
    <t>Clay Tunnel</t>
  </si>
  <si>
    <t>Driftveil Trainers</t>
  </si>
  <si>
    <t>Driftveil Gym</t>
  </si>
  <si>
    <t>Plasma Frigate</t>
  </si>
  <si>
    <t>Relic Castle Lower</t>
  </si>
  <si>
    <t>Relic Sanctum</t>
  </si>
  <si>
    <t>Mistralton Cave</t>
  </si>
  <si>
    <t>Guidance Chamber</t>
  </si>
  <si>
    <t>Cobalion Chamber</t>
  </si>
  <si>
    <t>CC Cave Floor 1</t>
  </si>
  <si>
    <t>CC Cave Floor 2</t>
  </si>
  <si>
    <t>CC Cave Floor 3</t>
  </si>
  <si>
    <t>Route 7</t>
  </si>
  <si>
    <t>Twist Mountain Ext</t>
  </si>
  <si>
    <t>Celestial Tower 1</t>
  </si>
  <si>
    <t>Sabrina</t>
  </si>
  <si>
    <t>Celestial Rooftop</t>
  </si>
  <si>
    <t>Mistralton Trainers</t>
  </si>
  <si>
    <t>Mistralton Leader</t>
  </si>
  <si>
    <t>?</t>
  </si>
  <si>
    <t>Model ID</t>
  </si>
  <si>
    <t>???</t>
  </si>
  <si>
    <t>Animation ID</t>
  </si>
  <si>
    <t>Spring</t>
  </si>
  <si>
    <t>Summer</t>
  </si>
  <si>
    <t>Autumn</t>
  </si>
  <si>
    <t>Winter</t>
  </si>
  <si>
    <t>Grass (Season)</t>
  </si>
  <si>
    <t>City (Season)</t>
  </si>
  <si>
    <t>N's Palace</t>
  </si>
  <si>
    <t>E4 Ghost</t>
  </si>
  <si>
    <t>E4 Fighting</t>
  </si>
  <si>
    <t>E4 Dark</t>
  </si>
  <si>
    <t>E4 Psychic</t>
  </si>
  <si>
    <t>WHollow 1</t>
  </si>
  <si>
    <t>WHollow 2</t>
  </si>
  <si>
    <t>WHollow 3</t>
  </si>
  <si>
    <t>WHollow 4</t>
  </si>
  <si>
    <t>BTower 1</t>
  </si>
  <si>
    <t>BTower 2</t>
  </si>
  <si>
    <t>BTower 3</t>
  </si>
  <si>
    <t>BTower 4</t>
  </si>
  <si>
    <t>Battle Subway</t>
  </si>
  <si>
    <t>Aspertia Water</t>
  </si>
  <si>
    <t>Route 19 Grass</t>
  </si>
  <si>
    <t>Pond Water</t>
  </si>
  <si>
    <t>Route 20 Grass</t>
  </si>
  <si>
    <t>Route 20 East</t>
  </si>
  <si>
    <t>River Water</t>
  </si>
  <si>
    <t>Ranch North</t>
  </si>
  <si>
    <t>Aspertia Gym</t>
  </si>
  <si>
    <t>Aspertia Gym 2</t>
  </si>
  <si>
    <t>Aspertia Gym Leader</t>
  </si>
  <si>
    <t>Virbank Water</t>
  </si>
  <si>
    <t>Aspertia Overlook</t>
  </si>
  <si>
    <t>Sewers Walking</t>
  </si>
  <si>
    <t>Sewers Water</t>
  </si>
  <si>
    <t>Castelia Gardens</t>
  </si>
  <si>
    <t>Route 4 Water</t>
  </si>
  <si>
    <t>Castelia Burgh</t>
  </si>
  <si>
    <t>Resort (Outside)</t>
  </si>
  <si>
    <t>Desert Resort</t>
  </si>
  <si>
    <t>Ingo and Emmett</t>
  </si>
  <si>
    <t>Route 5 Streets</t>
  </si>
  <si>
    <t>Route 5 Grass</t>
  </si>
  <si>
    <t>River Water Trees</t>
  </si>
  <si>
    <t>Route 16 Streets</t>
  </si>
  <si>
    <t>Route 16 Grass</t>
  </si>
  <si>
    <t>Lostlorn Grass</t>
  </si>
  <si>
    <t>Lostlorn Inner</t>
  </si>
  <si>
    <t>Old Nimbasa Gym</t>
  </si>
  <si>
    <t>Nimbasa Leader</t>
  </si>
  <si>
    <t>Driftveil Rood</t>
  </si>
  <si>
    <t>Driftveil Interior</t>
  </si>
  <si>
    <t>Cave Water</t>
  </si>
  <si>
    <t>Cobalion's Chamber</t>
  </si>
  <si>
    <t>Chargestone Cave 1</t>
  </si>
  <si>
    <t>Chargestone Cave 2</t>
  </si>
  <si>
    <t>Chargestone Cave 3</t>
  </si>
  <si>
    <t>Celestial Tower</t>
  </si>
  <si>
    <t>Mistralton Gym Trainer</t>
  </si>
  <si>
    <t>Mistralton Gym Leader</t>
  </si>
  <si>
    <t>Unk</t>
  </si>
  <si>
    <t>Model</t>
  </si>
  <si>
    <t>Animation</t>
  </si>
  <si>
    <t>Texture</t>
  </si>
  <si>
    <t>Unknown</t>
  </si>
  <si>
    <t>Spring Player</t>
  </si>
  <si>
    <t>Spring Enemy</t>
  </si>
  <si>
    <t>Summer Player</t>
  </si>
  <si>
    <t>Summer Enemy</t>
  </si>
  <si>
    <t>Autumn Player</t>
  </si>
  <si>
    <t>Autumn Enemy</t>
  </si>
  <si>
    <t>Winter Player</t>
  </si>
  <si>
    <t>Winter Enemy</t>
  </si>
  <si>
    <t>Ground S1</t>
  </si>
  <si>
    <t>Interior Water</t>
  </si>
  <si>
    <t>Sand Indoors</t>
  </si>
  <si>
    <t>E4 Fight</t>
  </si>
  <si>
    <t>E4 Psych</t>
  </si>
  <si>
    <t>Enc Grass /w Seasons</t>
  </si>
  <si>
    <t>Enc Grass no Season</t>
  </si>
  <si>
    <t>Sand / ground</t>
  </si>
  <si>
    <t>White Hollow</t>
  </si>
  <si>
    <t>Black Tower 1</t>
  </si>
  <si>
    <t>Black Tower 2</t>
  </si>
  <si>
    <t>Black Tower 3</t>
  </si>
  <si>
    <t>Black Tower 4</t>
  </si>
  <si>
    <t>Blank</t>
  </si>
  <si>
    <t>Water Platform</t>
  </si>
  <si>
    <t>Docks Platform</t>
  </si>
  <si>
    <t>Driftveil Gym Leader</t>
  </si>
  <si>
    <t>Location Name</t>
  </si>
  <si>
    <t>Background</t>
  </si>
  <si>
    <t>Platforms</t>
  </si>
  <si>
    <t>Location</t>
  </si>
  <si>
    <t>Map</t>
  </si>
  <si>
    <t>Override</t>
  </si>
  <si>
    <t>BG ID</t>
  </si>
  <si>
    <t>Has Seasons</t>
  </si>
  <si>
    <t>BG File ID</t>
  </si>
  <si>
    <t>File ID</t>
  </si>
  <si>
    <t>Anim ID</t>
  </si>
  <si>
    <t>Overlook</t>
  </si>
  <si>
    <t xml:space="preserve">Route 19  </t>
  </si>
  <si>
    <t>East</t>
  </si>
  <si>
    <t>YES</t>
  </si>
  <si>
    <t>Trainer</t>
  </si>
  <si>
    <t>Hugh</t>
  </si>
  <si>
    <t>Benga</t>
  </si>
  <si>
    <t>-</t>
  </si>
  <si>
    <t>Aspertia Gate</t>
  </si>
  <si>
    <t>Misty</t>
  </si>
  <si>
    <t>Walking</t>
  </si>
  <si>
    <t>Route 4</t>
  </si>
  <si>
    <t>Desert</t>
  </si>
  <si>
    <t>Fisherman</t>
  </si>
  <si>
    <t>Colress</t>
  </si>
  <si>
    <t>Liberty Garden</t>
  </si>
  <si>
    <t>Streets</t>
  </si>
  <si>
    <t>Heartbreaker</t>
  </si>
  <si>
    <t>Erika</t>
  </si>
  <si>
    <t>Trainers</t>
  </si>
  <si>
    <t>Elesa</t>
  </si>
  <si>
    <t>Clay</t>
  </si>
  <si>
    <t>Chargestone Cave</t>
  </si>
  <si>
    <t>Floor 1</t>
  </si>
  <si>
    <t>Floor 2</t>
  </si>
  <si>
    <t>Floor 3</t>
  </si>
  <si>
    <t>Iron Chamber</t>
  </si>
  <si>
    <t>Encounters</t>
  </si>
  <si>
    <t>Cobalion</t>
  </si>
  <si>
    <t xml:space="preserve">Celestial Tower </t>
  </si>
  <si>
    <t>Rooftop</t>
  </si>
  <si>
    <t>Mistralton Gym</t>
  </si>
  <si>
    <t>Skyla</t>
  </si>
  <si>
    <t>Does it Need Culling</t>
  </si>
  <si>
    <t>Does it need other Fixes</t>
  </si>
  <si>
    <t>Does it Need Skybox Fixes</t>
  </si>
  <si>
    <t>NO</t>
  </si>
  <si>
    <t>MAYBE</t>
  </si>
  <si>
    <t>(One of the mountains flickers)</t>
  </si>
  <si>
    <t>(The Lighting is all fucked up on this map for some reason)</t>
  </si>
  <si>
    <t>(The background is pretty boring)</t>
  </si>
  <si>
    <t>(There is a weird texture distortion on the floor)</t>
  </si>
  <si>
    <t>Inner</t>
  </si>
  <si>
    <t>(There is a weird lighting issue on this map that we now know how to fix)</t>
  </si>
  <si>
    <t>Trainer A</t>
  </si>
  <si>
    <t>Trainer B</t>
  </si>
  <si>
    <t>Gym Leader</t>
  </si>
  <si>
    <t>(Hard crashes here. The map also doesn't support doubles or triples well)</t>
  </si>
  <si>
    <t>(I experienced a crash on this map earlier today but wasn't able to recreate it with the same pokemon, same background, same time of day)</t>
  </si>
  <si>
    <t>(Looks a little awkward for double battles)</t>
  </si>
  <si>
    <t>Leader</t>
  </si>
  <si>
    <t>Penthouse</t>
  </si>
  <si>
    <t>(Technically you can see the black skybox with certain moves but kinda a niche issue tbqh)</t>
  </si>
  <si>
    <t>(You can see the black ass sky)</t>
  </si>
  <si>
    <t>Ruins</t>
  </si>
  <si>
    <t>Daytime</t>
  </si>
  <si>
    <t>(Maybe some performance issues? There are only singles battles here though)</t>
  </si>
  <si>
    <t>Sunset</t>
  </si>
  <si>
    <t>Nighttime</t>
  </si>
  <si>
    <t>(We need to fix the textures on the trees which are not properly transparent)</t>
  </si>
  <si>
    <t>(In Triples, there's a massive amount of color bleed. It's possible this doesn't occur much in doubles, but i'll need to test with high color moves and go from there)</t>
  </si>
  <si>
    <t>Exterior</t>
  </si>
  <si>
    <t>(Just kinda a shitty map)</t>
  </si>
  <si>
    <t>Interior</t>
  </si>
  <si>
    <t>(In triples, it seems you are pushed back enough to throw a ball from out of bounds. Not a huge visual glitch tbh)</t>
  </si>
  <si>
    <t>(The skybox flashed black for a brief second but that might be becuase of the other polygon issues)</t>
  </si>
  <si>
    <t>(I noticed a definite performance drop)</t>
  </si>
  <si>
    <t>(The skybox is fucked. There is some kind of weird model cutoff too with certain move animations)</t>
  </si>
  <si>
    <t>(Lighting on grass is fucked up. Hard crash from loading, Skybox doesn't cover everyhthing)</t>
  </si>
  <si>
    <t>(There's an awkward stitch in the floor and the player stands over nothing)</t>
  </si>
  <si>
    <t>(Cut off on flight)</t>
  </si>
  <si>
    <t>(Saw some slight performance drops)</t>
  </si>
  <si>
    <t>(In triples battles the enemy pokemon positions look very awkward and clip into pillars)</t>
  </si>
  <si>
    <t>(For triples there's some overlap with the trees and grass. There's some rough performance here)</t>
  </si>
  <si>
    <t>(With skyward abilities there's some bizarre clipping effect)</t>
  </si>
  <si>
    <t>(I have absolutely no idea how this doesn't crash but i need to test this thoroughly)</t>
  </si>
  <si>
    <t>(One of the few hard crashes I get I guess. I need to pull in the walls and remove a lot of the extra fluff I don't need)</t>
  </si>
  <si>
    <t>FIX SKYBOXES</t>
  </si>
  <si>
    <t>ASSESS</t>
  </si>
  <si>
    <t>CULL POLYGONS</t>
  </si>
  <si>
    <t>Aspertia City Overlook</t>
  </si>
  <si>
    <t>Virbank Complex Ext.</t>
  </si>
  <si>
    <t xml:space="preserve">No battles here. Just pokemon. </t>
  </si>
  <si>
    <t>Aspertia City Water</t>
  </si>
  <si>
    <t>Just single battles. Maybe stable</t>
  </si>
  <si>
    <t xml:space="preserve">Route 19 </t>
  </si>
  <si>
    <t>See if double battle is fine.</t>
  </si>
  <si>
    <t>See if double battles are fine.</t>
  </si>
  <si>
    <t>Check Double Battles</t>
  </si>
  <si>
    <t xml:space="preserve">Lostlorn Forest Int. </t>
  </si>
  <si>
    <t>Check Single Battles</t>
  </si>
  <si>
    <t>Route 6 (Grass)</t>
  </si>
  <si>
    <t>Single Battles</t>
  </si>
  <si>
    <t>Flocessy Ranch Interior</t>
  </si>
  <si>
    <t>Check Singles</t>
  </si>
  <si>
    <t>Route 4 Desert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</si>
</sst>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</font>
    <font>
      <i/>
      <color theme="1"/>
      <name val="Arial"/>
      <scheme val="minor"/>
    </font>
    <font>
      <b/>
      <sz val="15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4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readingOrder="0" shrinkToFit="0" wrapText="1"/>
    </xf>
    <xf borderId="3" fillId="0" fontId="3" numFmtId="0" xfId="0" applyBorder="1" applyFont="1"/>
    <xf borderId="4" fillId="0" fontId="3" numFmtId="0" xfId="0" applyBorder="1" applyFont="1"/>
    <xf borderId="2" fillId="0" fontId="1" numFmtId="0" xfId="0" applyAlignment="1" applyBorder="1" applyFont="1">
      <alignment horizontal="center" readingOrder="0" shrinkToFit="0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2" fillId="0" fontId="4" numFmtId="0" xfId="0" applyAlignment="1" applyBorder="1" applyFont="1">
      <alignment horizontal="center" readingOrder="0" vertical="center"/>
    </xf>
    <xf borderId="12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13" fillId="0" fontId="4" numFmtId="0" xfId="0" applyAlignment="1" applyBorder="1" applyFont="1">
      <alignment horizontal="center" readingOrder="0"/>
    </xf>
    <xf borderId="14" fillId="0" fontId="3" numFmtId="0" xfId="0" applyBorder="1" applyFont="1"/>
    <xf borderId="0" fillId="0" fontId="4" numFmtId="0" xfId="0" applyFont="1"/>
    <xf borderId="15" fillId="0" fontId="4" numFmtId="0" xfId="0" applyAlignment="1" applyBorder="1" applyFont="1">
      <alignment horizontal="center" readingOrder="0" shrinkToFit="0" wrapText="1"/>
    </xf>
    <xf borderId="11" fillId="0" fontId="4" numFmtId="0" xfId="0" applyAlignment="1" applyBorder="1" applyFont="1">
      <alignment horizontal="center" readingOrder="0" shrinkToFit="0" wrapText="1"/>
    </xf>
    <xf borderId="16" fillId="0" fontId="4" numFmtId="0" xfId="0" applyAlignment="1" applyBorder="1" applyFont="1">
      <alignment horizontal="center" readingOrder="0" shrinkToFit="0" wrapText="1"/>
    </xf>
    <xf borderId="17" fillId="0" fontId="4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readingOrder="0"/>
    </xf>
    <xf borderId="18" fillId="0" fontId="2" numFmtId="0" xfId="0" applyAlignment="1" applyBorder="1" applyFont="1">
      <alignment readingOrder="0"/>
    </xf>
    <xf borderId="19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7" fillId="0" fontId="2" numFmtId="0" xfId="0" applyAlignment="1" applyBorder="1" applyFont="1">
      <alignment readingOrder="0"/>
    </xf>
    <xf borderId="0" fillId="0" fontId="2" numFmtId="0" xfId="0" applyFont="1"/>
    <xf borderId="19" fillId="0" fontId="2" numFmtId="0" xfId="0" applyBorder="1" applyFont="1"/>
    <xf borderId="20" fillId="0" fontId="2" numFmtId="0" xfId="0" applyAlignment="1" applyBorder="1" applyFont="1">
      <alignment readingOrder="0"/>
    </xf>
    <xf borderId="14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19" fillId="0" fontId="5" numFmtId="0" xfId="0" applyAlignment="1" applyBorder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19" fillId="0" fontId="5" numFmtId="0" xfId="0" applyAlignment="1" applyBorder="1" applyFont="1">
      <alignment horizontal="right" readingOrder="0" vertical="bottom"/>
    </xf>
    <xf borderId="19" fillId="0" fontId="5" numFmtId="0" xfId="0" applyAlignment="1" applyBorder="1" applyFont="1">
      <alignment vertical="bottom"/>
    </xf>
    <xf borderId="21" fillId="0" fontId="2" numFmtId="0" xfId="0" applyAlignment="1" applyBorder="1" applyFont="1">
      <alignment readingOrder="0"/>
    </xf>
    <xf borderId="17" fillId="0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2" fillId="0" fontId="4" numFmtId="0" xfId="0" applyAlignment="1" applyBorder="1" applyFont="1">
      <alignment horizontal="center" readingOrder="0" vertical="center"/>
    </xf>
    <xf borderId="15" fillId="0" fontId="3" numFmtId="0" xfId="0" applyBorder="1" applyFont="1"/>
    <xf borderId="10" fillId="0" fontId="4" numFmtId="0" xfId="0" applyAlignment="1" applyBorder="1" applyFont="1">
      <alignment horizontal="center" readingOrder="0" shrinkToFit="0" wrapText="1"/>
    </xf>
    <xf borderId="7" fillId="0" fontId="2" numFmtId="0" xfId="0" applyBorder="1" applyFont="1"/>
    <xf borderId="11" fillId="0" fontId="2" numFmtId="0" xfId="0" applyBorder="1" applyFont="1"/>
    <xf borderId="17" fillId="0" fontId="2" numFmtId="0" xfId="0" applyBorder="1" applyFont="1"/>
    <xf borderId="10" fillId="0" fontId="2" numFmtId="0" xfId="0" applyBorder="1" applyFont="1"/>
    <xf borderId="13" fillId="0" fontId="4" numFmtId="0" xfId="0" applyAlignment="1" applyBorder="1" applyFont="1">
      <alignment horizontal="center" readingOrder="0" vertical="center"/>
    </xf>
    <xf borderId="16" fillId="0" fontId="3" numFmtId="0" xfId="0" applyBorder="1" applyFont="1"/>
    <xf borderId="0" fillId="0" fontId="6" numFmtId="0" xfId="0" applyAlignment="1" applyFont="1">
      <alignment readingOrder="0"/>
    </xf>
    <xf borderId="22" fillId="0" fontId="4" numFmtId="0" xfId="0" applyAlignment="1" applyBorder="1" applyFont="1">
      <alignment horizontal="center" readingOrder="0" vertical="center"/>
    </xf>
    <xf borderId="23" fillId="0" fontId="3" numFmtId="0" xfId="0" applyBorder="1" applyFont="1"/>
    <xf borderId="7" fillId="0" fontId="5" numFmtId="0" xfId="0" applyAlignment="1" applyBorder="1" applyFont="1">
      <alignment horizontal="right" vertical="bottom"/>
    </xf>
    <xf borderId="17" fillId="0" fontId="5" numFmtId="0" xfId="0" applyAlignment="1" applyBorder="1" applyFont="1">
      <alignment vertical="bottom"/>
    </xf>
    <xf borderId="10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2" fillId="0" fontId="7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4" numFmtId="0" xfId="0" applyAlignment="1" applyBorder="1" applyFont="1">
      <alignment horizontal="center" readingOrder="0"/>
    </xf>
    <xf borderId="28" fillId="0" fontId="4" numFmtId="0" xfId="0" applyAlignment="1" applyBorder="1" applyFont="1">
      <alignment horizontal="center" readingOrder="0"/>
    </xf>
    <xf borderId="26" fillId="0" fontId="4" numFmtId="0" xfId="0" applyAlignment="1" applyBorder="1" applyFont="1">
      <alignment horizontal="center" readingOrder="0"/>
    </xf>
    <xf borderId="24" fillId="0" fontId="4" numFmtId="0" xfId="0" applyAlignment="1" applyBorder="1" applyFont="1">
      <alignment horizontal="center" readingOrder="0"/>
    </xf>
    <xf borderId="29" fillId="0" fontId="4" numFmtId="0" xfId="0" applyAlignment="1" applyBorder="1" applyFont="1">
      <alignment horizontal="center" readingOrder="0"/>
    </xf>
    <xf borderId="30" fillId="0" fontId="4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right" readingOrder="0"/>
    </xf>
    <xf borderId="31" fillId="0" fontId="2" numFmtId="0" xfId="0" applyAlignment="1" applyBorder="1" applyFont="1">
      <alignment readingOrder="0"/>
    </xf>
    <xf borderId="32" fillId="0" fontId="2" numFmtId="0" xfId="0" applyAlignment="1" applyBorder="1" applyFont="1">
      <alignment readingOrder="0"/>
    </xf>
    <xf borderId="33" fillId="0" fontId="2" numFmtId="0" xfId="0" applyAlignment="1" applyBorder="1" applyFont="1">
      <alignment readingOrder="0"/>
    </xf>
    <xf borderId="34" fillId="0" fontId="2" numFmtId="0" xfId="0" applyAlignment="1" applyBorder="1" applyFont="1">
      <alignment readingOrder="0"/>
    </xf>
    <xf borderId="9" fillId="0" fontId="5" numFmtId="0" xfId="0" applyAlignment="1" applyBorder="1" applyFont="1">
      <alignment horizontal="right" vertical="bottom"/>
    </xf>
    <xf borderId="15" fillId="0" fontId="5" numFmtId="0" xfId="0" applyAlignment="1" applyBorder="1" applyFont="1">
      <alignment readingOrder="0" vertical="bottom"/>
    </xf>
    <xf borderId="15" fillId="0" fontId="2" numFmtId="0" xfId="0" applyAlignment="1" applyBorder="1" applyFont="1">
      <alignment readingOrder="0"/>
    </xf>
    <xf borderId="35" fillId="0" fontId="2" numFmtId="0" xfId="0" applyAlignment="1" applyBorder="1" applyFont="1">
      <alignment readingOrder="0"/>
    </xf>
    <xf borderId="36" fillId="0" fontId="2" numFmtId="0" xfId="0" applyAlignment="1" applyBorder="1" applyFont="1">
      <alignment readingOrder="0"/>
    </xf>
    <xf borderId="37" fillId="0" fontId="2" numFmtId="0" xfId="0" applyAlignment="1" applyBorder="1" applyFont="1">
      <alignment readingOrder="0"/>
    </xf>
    <xf borderId="18" fillId="0" fontId="2" numFmtId="0" xfId="0" applyBorder="1" applyFont="1"/>
    <xf borderId="33" fillId="0" fontId="2" numFmtId="0" xfId="0" applyBorder="1" applyFont="1"/>
    <xf borderId="27" fillId="0" fontId="2" numFmtId="0" xfId="0" applyBorder="1" applyFont="1"/>
    <xf borderId="28" fillId="0" fontId="2" numFmtId="0" xfId="0" applyAlignment="1" applyBorder="1" applyFont="1">
      <alignment readingOrder="0"/>
    </xf>
    <xf borderId="26" fillId="0" fontId="2" numFmtId="0" xfId="0" applyAlignment="1" applyBorder="1" applyFont="1">
      <alignment readingOrder="0"/>
    </xf>
    <xf borderId="21" fillId="0" fontId="2" numFmtId="0" xfId="0" applyBorder="1" applyFont="1"/>
    <xf borderId="33" fillId="2" fontId="2" numFmtId="0" xfId="0" applyAlignment="1" applyBorder="1" applyFill="1" applyFont="1">
      <alignment readingOrder="0"/>
    </xf>
    <xf borderId="33" fillId="3" fontId="2" numFmtId="0" xfId="0" applyAlignment="1" applyBorder="1" applyFill="1" applyFont="1">
      <alignment readingOrder="0"/>
    </xf>
    <xf borderId="7" fillId="4" fontId="2" numFmtId="0" xfId="0" applyAlignment="1" applyBorder="1" applyFill="1" applyFont="1">
      <alignment readingOrder="0"/>
    </xf>
    <xf borderId="19" fillId="2" fontId="2" numFmtId="0" xfId="0" applyAlignment="1" applyBorder="1" applyFont="1">
      <alignment readingOrder="0"/>
    </xf>
    <xf borderId="19" fillId="4" fontId="2" numFmtId="0" xfId="0" applyAlignment="1" applyBorder="1" applyFont="1">
      <alignment readingOrder="0"/>
    </xf>
    <xf borderId="33" fillId="4" fontId="2" numFmtId="0" xfId="0" applyAlignment="1" applyBorder="1" applyFont="1">
      <alignment readingOrder="0"/>
    </xf>
    <xf borderId="34" fillId="4" fontId="2" numFmtId="0" xfId="0" applyAlignment="1" applyBorder="1" applyFont="1">
      <alignment readingOrder="0"/>
    </xf>
    <xf borderId="36" fillId="2" fontId="2" numFmtId="0" xfId="0" applyAlignment="1" applyBorder="1" applyFont="1">
      <alignment readingOrder="0"/>
    </xf>
    <xf borderId="37" fillId="2" fontId="2" numFmtId="0" xfId="0" applyAlignment="1" applyBorder="1" applyFont="1">
      <alignment readingOrder="0"/>
    </xf>
    <xf borderId="36" fillId="4" fontId="2" numFmtId="0" xfId="0" applyAlignment="1" applyBorder="1" applyFont="1">
      <alignment readingOrder="0"/>
    </xf>
    <xf borderId="27" fillId="0" fontId="2" numFmtId="0" xfId="0" applyAlignment="1" applyBorder="1" applyFont="1">
      <alignment readingOrder="0"/>
    </xf>
    <xf borderId="7" fillId="2" fontId="2" numFmtId="0" xfId="0" applyAlignment="1" applyBorder="1" applyFont="1">
      <alignment readingOrder="0"/>
    </xf>
    <xf borderId="34" fillId="2" fontId="2" numFmtId="0" xfId="0" applyAlignment="1" applyBorder="1" applyFont="1">
      <alignment readingOrder="0"/>
    </xf>
    <xf borderId="38" fillId="2" fontId="2" numFmtId="0" xfId="0" applyAlignment="1" applyBorder="1" applyFont="1">
      <alignment readingOrder="0"/>
    </xf>
    <xf borderId="34" fillId="3" fontId="2" numFmtId="0" xfId="0" applyAlignment="1" applyBorder="1" applyFont="1">
      <alignment readingOrder="0"/>
    </xf>
    <xf borderId="36" fillId="3" fontId="2" numFmtId="0" xfId="0" applyAlignment="1" applyBorder="1" applyFont="1">
      <alignment readingOrder="0"/>
    </xf>
    <xf borderId="19" fillId="3" fontId="2" numFmtId="0" xfId="0" applyAlignment="1" applyBorder="1" applyFont="1">
      <alignment readingOrder="0"/>
    </xf>
    <xf borderId="28" fillId="2" fontId="2" numFmtId="0" xfId="0" applyAlignment="1" applyBorder="1" applyFont="1">
      <alignment readingOrder="0"/>
    </xf>
    <xf borderId="28" fillId="3" fontId="2" numFmtId="0" xfId="0" applyAlignment="1" applyBorder="1" applyFont="1">
      <alignment readingOrder="0"/>
    </xf>
    <xf borderId="26" fillId="2" fontId="2" numFmtId="0" xfId="0" applyAlignment="1" applyBorder="1" applyFont="1">
      <alignment readingOrder="0"/>
    </xf>
    <xf borderId="39" fillId="0" fontId="4" numFmtId="0" xfId="0" applyAlignment="1" applyBorder="1" applyFont="1">
      <alignment horizontal="center" readingOrder="0"/>
    </xf>
    <xf borderId="40" fillId="0" fontId="4" numFmtId="0" xfId="0" applyAlignment="1" applyBorder="1" applyFont="1">
      <alignment horizontal="center" readingOrder="0"/>
    </xf>
    <xf borderId="41" fillId="0" fontId="3" numFmtId="0" xfId="0" applyBorder="1" applyFont="1"/>
    <xf borderId="39" fillId="0" fontId="4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29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3" max="3" width="14.88"/>
    <col customWidth="1" min="4" max="47" width="7.63"/>
  </cols>
  <sheetData>
    <row r="4">
      <c r="B4" s="1" t="s">
        <v>0</v>
      </c>
      <c r="C4" s="2" t="str">
        <f>IFERROR(__xludf.DUMMYFUNCTION("JOIN("""", TOROW(MAP({D40:AU60}, LAMBDA(cell, IF(ISBLANK(cell), DEC2HEX(255, 2), DEC2HEX(cell, 2)) ))))"),"01000000000000000000000000000800000B11002A2605000101181708000A0C040C0A0D030E14191E1D303001010101010101010101010101010801010B11012A2606010101181608010A0C040C0A0D030E14191E1D303001000202020202020202020202020802020B11022B2705000101181708000A0C040C0A0D030E141"&amp;"91F1D303001010303030303030303030303030803030B11032B2706010101181608010A0C040C0A0D030E14191F1D3030000004040404040404FF040404040804040B11042B2705000101041709000B0C040C0A0D030E14191F1D3030000005050505050505FF050505050805050B11052C2805000101041709040B0C040C0A"&amp;"0D030E1419201D303001010606060606060606060606060806060B11062C2805000101051709000A0C040C0A0D030E1419201D303001010707070707070707070707070707070B11072C2805070101071708010A0C000C0A0D030E1419201D3030010108080808080808FF080808080808080B11082C2805000101081708000"&amp;"A0C040C0A0D030E1419201D3030000009090909090909FF090909090909090B11092D2905030101031709000B0C040C0B0D030E1419211D303001000A0A0A0A0A0A0A0A0A0A0A0A0A0A0A0B110A2D2905180101001708000A0C040C0A0D030E1419211D303000000C0C0C0C0C0C0C0C0C0C0C0C0C0C0C0C0C0C2D290F0F0F0F"&amp;"0F0F0F0F0F0F0F0F0F0F0F0F0F0F211D303000000D0D0D0D0D0D0D0D0D0D0D0D0D0D0D0D0D0D2D29101010101010101010101010101010101010211D303000000E0E0E0E0E0E0E0E0E0E0E0E0E0E0E0E0E0E2D29111111111111111111111111111111111111211D303000000F0F0F0F0F0F0F0F0F0F0F0F0F0F0F0F0F0F2D2"&amp;"9121212121212121212121212121212121212211D303000001010101010101010101010101010101010102D29131313131313131313131313131313131313211D303000001212121212121212121212121212121212122D29151515151515151515151515151515151515211D30300000101010101010101010101010101010"&amp;"1010102D29151515151515151515151515151515151515211D303000001313131313131313131313131313131313132D29030303030303030303030303030303030303211D303000002E2E2E2E2E2E2E2E2E2E2E2E2E2E2E2E2E2E2D29222222222222222222222222222222222222211D30300000252525252525252525242"&amp;"5242524252425242D291C1C1C1C1C1C1C1C1C1C1C1C1C1C1C1C1C1C211D3030")</f>
        <v>01000000000000000000000000000800000B11002A2605000101181708000A0C040C0A0D030E14191E1D303001010101010101010101010101010801010B11012A2606010101181608010A0C040C0A0D030E14191E1D303001000202020202020202020202020802020B11022B2705000101181708000A0C040C0A0D030E14191F1D303001010303030303030303030303030803030B11032B2706010101181608010A0C040C0A0D030E14191F1D3030000004040404040404FF040404040804040B11042B2705000101041709000B0C040C0A0D030E14191F1D3030000005050505050505FF050505050805050B11052C2805000101041709040B0C040C0A0D030E1419201D303001010606060606060606060606060806060B11062C2805000101051709000A0C040C0A0D030E1419201D303001010707070707070707070707070707070B11072C2805070101071708010A0C000C0A0D030E1419201D3030010108080808080808FF080808080808080B11082C2805000101081708000A0C040C0A0D030E1419201D3030000009090909090909FF090909090909090B11092D2905030101031709000B0C040C0B0D030E1419211D303001000A0A0A0A0A0A0A0A0A0A0A0A0A0A0A0B110A2D2905180101001708000A0C040C0A0D030E1419211D303000000C0C0C0C0C0C0C0C0C0C0C0C0C0C0C0C0C0C2D290F0F0F0F0F0F0F0F0F0F0F0F0F0F0F0F0F0F211D303000000D0D0D0D0D0D0D0D0D0D0D0D0D0D0D0D0D0D2D29101010101010101010101010101010101010211D303000000E0E0E0E0E0E0E0E0E0E0E0E0E0E0E0E0E0E2D29111111111111111111111111111111111111211D303000000F0F0F0F0F0F0F0F0F0F0F0F0F0F0F0F0F0F2D29121212121212121212121212121212121212211D303000001010101010101010101010101010101010102D29131313131313131313131313131313131313211D303000001212121212121212121212121212121212122D29151515151515151515151515151515151515211D303000001010101010101010101010101010101010102D29151515151515151515151515151515151515211D303000001313131313131313131313131313131313132D29030303030303030303030303030303030303211D303000002E2E2E2E2E2E2E2E2E2E2E2E2E2E2E2E2E2E2D29222222222222222222222222222222222222211D303000002525252525252525252425242524252425242D291C1C1C1C1C1C1C1C1C1C1C1C1C1C1C1C1C1C211D3030</v>
      </c>
      <c r="D4" s="3"/>
      <c r="E4" s="3"/>
      <c r="F4" s="3"/>
      <c r="G4" s="3"/>
      <c r="H4" s="3"/>
      <c r="I4" s="3"/>
      <c r="J4" s="3"/>
      <c r="K4" s="3"/>
      <c r="L4" s="3"/>
      <c r="M4" s="4"/>
      <c r="P4" s="5" t="s">
        <v>1</v>
      </c>
      <c r="Q4" s="4"/>
      <c r="R4" s="2" t="str">
        <f>IFERROR(__xludf.DUMMYFUNCTION("JOIN("""", TOROW(MAP({D40:AU122}, LAMBDA(cell, IF(ISBLANK(cell), DEC2HEX(255, 2), DEC2HEX(cell, 2)) ))))"),"01000000000000000000000000000800000B11002A2605000101181708000A0C040C0A0D030E14191E1D303001010101010101010101010101010801010B11012A2606010101181608010A0C040C0A0D030E14191E1D303001000202020202020202020202020802020B11022B2705000101181708000A0C040C0A0D030E141"&amp;"91F1D303001010303030303030303030303030803030B11032B2706010101181608010A0C040C0A0D030E14191F1D3030000004040404040404FF040404040804040B11042B2705000101041709000B0C040C0A0D030E14191F1D3030000005050505050505FF050505050805050B11052C2805000101041709040B0C040C0A"&amp;"0D030E1419201D303001010606060606060606060606060806060B11062C2805000101051709000A0C040C0A0D030E1419201D303001010707070707070707070707070707070B11072C2805070101071708010A0C000C0A0D030E1419201D3030010108080808080808FF080808080808080B11082C2805000101081708000"&amp;"A0C040C0A0D030E1419201D3030000009090909090909FF090909090909090B11092D2905030101031709000B0C040C0B0D030E1419211D303001000A0A0A0A0A0A0A0A0A0A0A0A0A0A0A0B110A2D2905180101001708000A0C040C0A0D030E1419211D303000000C0C0C0C0C0C0C0C0C0C0C0C0C0C0C0C0C0C2D290F0F0F0F"&amp;"0F0F0F0F0F0F0F0F0F0F0F0F0F0F211D303000000D0D0D0D0D0D0D0D0D0D0D0D0D0D0D0D0D0D2D29101010101010101010101010101010101010211D303000000E0E0E0E0E0E0E0E0E0E0E0E0E0E0E0E0E0E2D29111111111111111111111111111111111111211D303000000F0F0F0F0F0F0F0F0F0F0F0F0F0F0F0F0F0F2D2"&amp;"9121212121212121212121212121212121212211D303000001010101010101010101010101010101010102D29131313131313131313131313131313131313211D303000001212121212121212121212121212121212122D29151515151515151515151515151515151515211D30300000101010101010101010101010101010"&amp;"1010102D29151515151515151515151515151515151515211D303000001313131313131313131313131313131313132D29030303030303030303030303030303030303211D303000002E2E2E2E2E2E2E2E2E2E2E2E2E2E2E2E2E2E2D29222222222222222222222222222222222222211D30300000252525252525252525242"&amp;"5242524252425242D291C1C1C1C1C1C1C1C1C1C1C1C1C1C1C1C1C1C211D303000002F2F2F2F2F2F2F2F2F2F2F2F2F2F2F2F2F2F2F2F2323232323232323232323232423232323232323303001013131313131313231313131313231313131313131232323232323242323232323242323232323232330300101333333333333"&amp;"613333333333613333333333333323232323232324232323232324232323232323233030010134343434343461343434343461343434343434342323232323232423232323232423232323232323303001013636363636366136363636366136363636363636232323232323242323232323242323232323232330300101373"&amp;"737373737353737373737373737373737373723232323232324232323232324232323232323233030000038383838383838383838383838383838383838382323232323232323232323232323232323232323303000003939393939393939393939393939393939393939232323232323232323232323232323232323232330"&amp;"3001013A3A3A3A3A3A3A3A3A3A3A3A3A3A3A3A3A3A3A3A2323232323232323232323232323232323232323303001013B3B3B3B3B3B3B3B3B3B3B3B3B3B3B3B3B3B3B3B2323232323232323232323232323232323232323303001013C3C3C3C3C3C3C3C3C3C3C3C3C3C3C3C3C3C3C3C232323232323232323232323232323232"&amp;"3232323303001013D3D3D3D3D3D3D3D3D3D3D3D3D3D3D3D3D3D3D3D2323232323232323232323232323232323232323303001013E3E3E3E3E3E3E3E3E3E3E3E3E3E3E3E3E3E3E3E2323232323232323232323232323232323232323303001014040404040404040404040404040404040404040242424242424242424242424"&amp;"242424242424242330300100414141414141414141414141414141414141414125252525252525252525252525252525252525253030010042424242424240424242424240424242424242422525252525252525252525252525252525252525303001004343434343434343434343434343434343434343252525252525252"&amp;"525252525252525252525252530300101444444444444304444444444304444444444444423232323232323232323232323232323232323233030010145454545454540454545454540454545454545452323232323232423232323232423232323232323303001014646464646464646464646464646464646464646232323"&amp;"232323232323232323232323232323232630300000474747474747474747474747474747474747474726262626262626262626262626262626262626263030010048484848484848484848484848484848484848482626262626262626262626262626262626262626303001004949494949494949494949494949494949494"&amp;"9492323232323232323232323232323232323232323303001004A4A4A4A4A4A4A4A4A4A4A4A4A4A4A4A4A4A4A4A2323232323232323232323232323232323232323303000004B4B4B4B4B4B4C4B4B4B4B4B4C4B4B4B4B4B4B4B2323232323232423232323232423232323232323303000004D4D4D4D4D4D4D4D4D4D4D4D4D4D"&amp;"4D4D4D4D4D4D2323232323232323232323232323232323232323303001014E4E4E4E4E4E4E4E4E4E4E4E4E4E4E4E4E4E4E4E2323232323232323232323232323232323232323303001004F4F4F4F4F4F504F4F4F4F4F504F4F4F4F4F4F4F2323232323232423232323232423232323232323303001005151515151515151515"&amp;"151515151515151515151232323232323232323232323232323232323232330300100525252525252525252525252525252525252525223232323232323232323232323232323232323233030010153535353535353535353535353535353535353532323232323232323232323232323232323232323303001015454545454"&amp;"545454545454545454545454545454232323232323232323232323232323232323232330300101555555555555555555555555555555555555555523232323232323232323232323232323232323233030010156565656565656565656565656565656565656562323232323232323232323232323232323232323303001005"&amp;"757575757575757575757575757575757575757232323232323232323232323232323232323232330300100585858585858585858585858585858585858585823232323232323232323232323232323232323233030010059595959595959595959595959595959595959592323232323232323232323232323232323232323"&amp;"303001005A5A5A5A5A5A5A5A5A5A5A5A5A5A5A5A5A5A5A5A2323232323232323232323232323232323232323303001005B5B5B5B5B5B5B5B5B5B5B5B5B5B5B5B5B5B5B5B2323232323232323232323232323232323232323303000005C5C5C5C5C5C5C5C5C5C5C5C5C5C5C5C5C5C5C5C2323232323232323232323232323232"&amp;"323232323303001005D5D5D5D5D5D5D5D5D5D5D5D5D5D5D5D5D5D5D5D2323232323232323232323232323232323232323303001015F5F5F5F5F5F5F5F5F5F5F5F5F5F5F5F5F5F5F5F23232323232323232323232323232323232323233030010160606060606060606060606060606060606060602323232323232323232323"&amp;"232323232323232323303001016262626262626262626262626262626262626262232323232323232323232323232323232323232330300101636363636363636363636363636363636363636323232323232323232323232323232323232323233030010164646464646461646464646464646464646464642323232323232"&amp;"423232323232423232323232323303001016565656565656165656565656565656565656565232323232323242323232323242323232323232330300100666666666666666666666666666666666666666627272727272727272727272727272727272727273030000067676767676767676767676767676767676767672323"&amp;"23232323232323232323232323232323232330300000686868686868686868686868686868686868686823232323232324232323232323232323232323233030010169696969696969696969696969696969696969692323232323232423232323232323232323232323303001006A6A6A6A6A6A6A6A6A6A6A6A6A6A6A6A6A6"&amp;"A6A6A2323232323232423232323232323232323232323303001016B6B6B6B6B6B6B6B6B6B6B6B6B6B6B6B6B6B6B6B2323232323232423232323232323232323232323303001016C6C6C6C6C6C6C6C6C6C6C6C6C6C6C6C6C6C6C6C2323232323232423232323232323232323232323303000006D6D6D6D6D6D6D6D6D6D6D6D6D"&amp;"6D6D6D6D6D6D6D2828282828282428282828282828282828282828303000006E6E6E6E6E6E6E6E6E6E6E6E6E6E6E6E6E6E6E6E2323232323232423232323232323232323232323303001006F6F6F6F6F6F6F6F6F6F6F6F6F6F6F6F6F6F6F6F23232323232324232323232323232323232323233030010170707070707061707"&amp;"070707061707070707070702323232323232423232323232323232323232323303001017171717171717171717171717171717171717171232323232323242323232323232323232323232330300000727272727272727272727272727272727272727223232323232324232323232323232323232323233030010073737373"&amp;"7373737373737373737373737373737329292929292924292929292929292929292929293030010074747474747474747474747474747474747474742A2A2A2A2A2A242A2A2A2A2A2A2A2A2A2A2A2A2A3030")</f>
        <v>01000000000000000000000000000800000B11002A2605000101181708000A0C040C0A0D030E14191E1D303001010101010101010101010101010801010B11012A2606010101181608010A0C040C0A0D030E14191E1D303001000202020202020202020202020802020B11022B2705000101181708000A0C040C0A0D030E14191F1D303001010303030303030303030303030803030B11032B2706010101181608010A0C040C0A0D030E14191F1D3030000004040404040404FF040404040804040B11042B2705000101041709000B0C040C0A0D030E14191F1D3030000005050505050505FF050505050805050B11052C2805000101041709040B0C040C0A0D030E1419201D303001010606060606060606060606060806060B11062C2805000101051709000A0C040C0A0D030E1419201D303001010707070707070707070707070707070B11072C2805070101071708010A0C000C0A0D030E1419201D3030010108080808080808FF080808080808080B11082C2805000101081708000A0C040C0A0D030E1419201D3030000009090909090909FF090909090909090B11092D2905030101031709000B0C040C0B0D030E1419211D303001000A0A0A0A0A0A0A0A0A0A0A0A0A0A0A0B110A2D2905180101001708000A0C040C0A0D030E1419211D303000000C0C0C0C0C0C0C0C0C0C0C0C0C0C0C0C0C0C2D290F0F0F0F0F0F0F0F0F0F0F0F0F0F0F0F0F0F211D303000000D0D0D0D0D0D0D0D0D0D0D0D0D0D0D0D0D0D2D29101010101010101010101010101010101010211D303000000E0E0E0E0E0E0E0E0E0E0E0E0E0E0E0E0E0E2D29111111111111111111111111111111111111211D303000000F0F0F0F0F0F0F0F0F0F0F0F0F0F0F0F0F0F2D29121212121212121212121212121212121212211D303000001010101010101010101010101010101010102D29131313131313131313131313131313131313211D303000001212121212121212121212121212121212122D29151515151515151515151515151515151515211D303000001010101010101010101010101010101010102D29151515151515151515151515151515151515211D303000001313131313131313131313131313131313132D29030303030303030303030303030303030303211D303000002E2E2E2E2E2E2E2E2E2E2E2E2E2E2E2E2E2E2D29222222222222222222222222222222222222211D303000002525252525252525252425242524252425242D291C1C1C1C1C1C1C1C1C1C1C1C1C1C1C1C1C1C211D303000002F2F2F2F2F2F2F2F2F2F2F2F2F2F2F2F2F2F2F2F23232323232323232323232324232323232323233030010131313131313132313131313132313131313131312323232323232423232323232423232323232323303001013333333333336133333333336133333333333333232323232323242323232323242323232323232330300101343434343434613434343434613434343434343423232323232324232323232324232323232323233030010136363636363661363636363661363636363636362323232323232423232323232423232323232323303001013737373737373537373737373737373737373737232323232323242323232323242323232323232330300000383838383838383838383838383838383838383823232323232323232323232323232323232323233030000039393939393939393939393939393939393939392323232323232323232323232323232323232323303001013A3A3A3A3A3A3A3A3A3A3A3A3A3A3A3A3A3A3A3A2323232323232323232323232323232323232323303001013B3B3B3B3B3B3B3B3B3B3B3B3B3B3B3B3B3B3B3B2323232323232323232323232323232323232323303001013C3C3C3C3C3C3C3C3C3C3C3C3C3C3C3C3C3C3C3C2323232323232323232323232323232323232323303001013D3D3D3D3D3D3D3D3D3D3D3D3D3D3D3D3D3D3D3D2323232323232323232323232323232323232323303001013E3E3E3E3E3E3E3E3E3E3E3E3E3E3E3E3E3E3E3E23232323232323232323232323232323232323233030010140404040404040404040404040404040404040402424242424242424242424242424242424242423303001004141414141414141414141414141414141414141252525252525252525252525252525252525252530300100424242424242404242424242404242424242424225252525252525252525252525252525252525253030010043434343434343434343434343434343434343432525252525252525252525252525252525252525303001014444444444443044444444443044444444444444232323232323232323232323232323232323232330300101454545454545404545454545404545454545454523232323232324232323232324232323232323233030010146464646464646464646464646464646464646462323232323232323232323232323232323232326303000004747474747474747474747474747474747474747262626262626262626262626262626262626262630300100484848484848484848484848484848484848484826262626262626262626262626262626262626263030010049494949494949494949494949494949494949492323232323232323232323232323232323232323303001004A4A4A4A4A4A4A4A4A4A4A4A4A4A4A4A4A4A4A4A2323232323232323232323232323232323232323303000004B4B4B4B4B4B4C4B4B4B4B4B4C4B4B4B4B4B4B4B2323232323232423232323232423232323232323303000004D4D4D4D4D4D4D4D4D4D4D4D4D4D4D4D4D4D4D4D2323232323232323232323232323232323232323303001014E4E4E4E4E4E4E4E4E4E4E4E4E4E4E4E4E4E4E4E2323232323232323232323232323232323232323303001004F4F4F4F4F4F504F4F4F4F4F504F4F4F4F4F4F4F2323232323232423232323232423232323232323303001005151515151515151515151515151515151515151232323232323232323232323232323232323232330300100525252525252525252525252525252525252525223232323232323232323232323232323232323233030010153535353535353535353535353535353535353532323232323232323232323232323232323232323303001015454545454545454545454545454545454545454232323232323232323232323232323232323232330300101555555555555555555555555555555555555555523232323232323232323232323232323232323233030010156565656565656565656565656565656565656562323232323232323232323232323232323232323303001005757575757575757575757575757575757575757232323232323232323232323232323232323232330300100585858585858585858585858585858585858585823232323232323232323232323232323232323233030010059595959595959595959595959595959595959592323232323232323232323232323232323232323303001005A5A5A5A5A5A5A5A5A5A5A5A5A5A5A5A5A5A5A5A2323232323232323232323232323232323232323303001005B5B5B5B5B5B5B5B5B5B5B5B5B5B5B5B5B5B5B5B2323232323232323232323232323232323232323303000005C5C5C5C5C5C5C5C5C5C5C5C5C5C5C5C5C5C5C5C2323232323232323232323232323232323232323303001005D5D5D5D5D5D5D5D5D5D5D5D5D5D5D5D5D5D5D5D2323232323232323232323232323232323232323303001015F5F5F5F5F5F5F5F5F5F5F5F5F5F5F5F5F5F5F5F2323232323232323232323232323232323232323303001016060606060606060606060606060606060606060232323232323232323232323232323232323232330300101626262626262626262626262626262626262626223232323232323232323232323232323232323233030010163636363636363636363636363636363636363632323232323232323232323232323232323232323303001016464646464646164646464646464646464646464232323232323242323232323242323232323232330300101656565656565616565656565656565656565656523232323232324232323232324232323232323233030010066666666666666666666666666666666666666662727272727272727272727272727272727272727303000006767676767676767676767676767676767676767232323232323232323232323232323232323232330300000686868686868686868686868686868686868686823232323232324232323232323232323232323233030010169696969696969696969696969696969696969692323232323232423232323232323232323232323303001006A6A6A6A6A6A6A6A6A6A6A6A6A6A6A6A6A6A6A6A2323232323232423232323232323232323232323303001016B6B6B6B6B6B6B6B6B6B6B6B6B6B6B6B6B6B6B6B2323232323232423232323232323232323232323303001016C6C6C6C6C6C6C6C6C6C6C6C6C6C6C6C6C6C6C6C2323232323232423232323232323232323232323303000006D6D6D6D6D6D6D6D6D6D6D6D6D6D6D6D6D6D6D6D2828282828282428282828282828282828282828303000006E6E6E6E6E6E6E6E6E6E6E6E6E6E6E6E6E6E6E6E2323232323232423232323232323232323232323303001006F6F6F6F6F6F6F6F6F6F6F6F6F6F6F6F6F6F6F6F232323232323242323232323232323232323232330300101707070707070617070707070617070707070707023232323232324232323232323232323232323233030010171717171717171717171717171717171717171712323232323232423232323232323232323232323303000007272727272727272727272727272727272727272232323232323242323232323232323232323232330300100737373737373737373737373737373737373737329292929292924292929292929292929292929293030010074747474747474747474747474747474747474742A2A2A2A2A2A242A2A2A2A2A2A2A2A2A2A2A2A2A3030</v>
      </c>
      <c r="S4" s="3"/>
      <c r="T4" s="3"/>
      <c r="U4" s="3"/>
      <c r="V4" s="3"/>
      <c r="W4" s="3"/>
      <c r="X4" s="3"/>
      <c r="Y4" s="3"/>
      <c r="Z4" s="3"/>
      <c r="AA4" s="3"/>
      <c r="AB4" s="4"/>
      <c r="AE4" s="5" t="s">
        <v>2</v>
      </c>
      <c r="AF4" s="4"/>
      <c r="AG4" s="2" t="str">
        <f>IFERROR(__xludf.DUMMYFUNCTION("JOIN("""", TOROW(MAP({D40:AU129}, LAMBDA(cell, IF(ISBLANK(cell), DEC2HEX(255, 2), DEC2HEX(cell, 2)) ))))"),"01000000000000000000000000000800000B11002A2605000101181708000A0C040C0A0D030E14191E1D303001010101010101010101010101010801010B11012A2606010101181608010A0C040C0A0D030E14191E1D303001000202020202020202020202020802020B11022B2705000101181708000A0C040C0A0D030E141"&amp;"91F1D303001010303030303030303030303030803030B11032B2706010101181608010A0C040C0A0D030E14191F1D3030000004040404040404FF040404040804040B11042B2705000101041709000B0C040C0A0D030E14191F1D3030000005050505050505FF050505050805050B11052C2805000101041709040B0C040C0A"&amp;"0D030E1419201D303001010606060606060606060606060806060B11062C2805000101051709000A0C040C0A0D030E1419201D303001010707070707070707070707070707070B11072C2805070101071708010A0C000C0A0D030E1419201D3030010108080808080808FF080808080808080B11082C2805000101081708000"&amp;"A0C040C0A0D030E1419201D3030000009090909090909FF090909090909090B11092D2905030101031709000B0C040C0B0D030E1419211D303001000A0A0A0A0A0A0A0A0A0A0A0A0A0A0A0B110A2D2905180101001708000A0C040C0A0D030E1419211D303000000C0C0C0C0C0C0C0C0C0C0C0C0C0C0C0C0C0C2D290F0F0F0F"&amp;"0F0F0F0F0F0F0F0F0F0F0F0F0F0F211D303000000D0D0D0D0D0D0D0D0D0D0D0D0D0D0D0D0D0D2D29101010101010101010101010101010101010211D303000000E0E0E0E0E0E0E0E0E0E0E0E0E0E0E0E0E0E2D29111111111111111111111111111111111111211D303000000F0F0F0F0F0F0F0F0F0F0F0F0F0F0F0F0F0F2D2"&amp;"9121212121212121212121212121212121212211D303000001010101010101010101010101010101010102D29131313131313131313131313131313131313211D303000001212121212121212121212121212121212122D29151515151515151515151515151515151515211D30300000101010101010101010101010101010"&amp;"1010102D29151515151515151515151515151515151515211D303000001313131313131313131313131313131313132D29030303030303030303030303030303030303211D303000002E2E2E2E2E2E2E2E2E2E2E2E2E2E2E2E2E2E2D29222222222222222222222222222222222222211D30300000252525252525252525242"&amp;"5242524252425242D291C1C1C1C1C1C1C1C1C1C1C1C1C1C1C1C1C1C211D303000002F2F2F2F2F2F2F2F2F2F2F2F2F2F2F2F2F2F2F2F2323232323232323232323232423232323232323303001013131313131313231313131313231313131313131232323232323242323232323242323232323232330300101333333333333"&amp;"613333333333613333333333333323232323232324232323232324232323232323233030010134343434343461343434343461343434343434342323232323232423232323232423232323232323303001013636363636366136363636366136363636363636232323232323242323232323242323232323232330300101373"&amp;"737373737353737373737373737373737373723232323232324232323232324232323232323233030000038383838383838383838383838383838383838382323232323232323232323232323232323232323303000003939393939393939393939393939393939393939232323232323232323232323232323232323232330"&amp;"3001013A3A3A3A3A3A3A3A3A3A3A3A3A3A3A3A3A3A3A3A2323232323232323232323232323232323232323303001013B3B3B3B3B3B3B3B3B3B3B3B3B3B3B3B3B3B3B3B2323232323232323232323232323232323232323303001013C3C3C3C3C3C3C3C3C3C3C3C3C3C3C3C3C3C3C3C232323232323232323232323232323232"&amp;"3232323303001013D3D3D3D3D3D3D3D3D3D3D3D3D3D3D3D3D3D3D3D2323232323232323232323232323232323232323303001013E3E3E3E3E3E3E3E3E3E3E3E3E3E3E3E3E3E3E3E2323232323232323232323232323232323232323303001014040404040404040404040404040404040404040242424242424242424242424"&amp;"242424242424242330300100414141414141414141414141414141414141414125252525252525252525252525252525252525253030010042424242424240424242424240424242424242422525252525252525252525252525252525252525303001004343434343434343434343434343434343434343252525252525252"&amp;"525252525252525252525252530300101444444444444304444444444304444444444444423232323232323232323232323232323232323233030010145454545454540454545454540454545454545452323232323232423232323232423232323232323303001014646464646464646464646464646464646464646232323"&amp;"232323232323232323232323232323232630300000474747474747474747474747474747474747474726262626262626262626262626262626262626263030010048484848484848484848484848484848484848482626262626262626262626262626262626262626303001004949494949494949494949494949494949494"&amp;"9492323232323232323232323232323232323232323303001004A4A4A4A4A4A4A4A4A4A4A4A4A4A4A4A4A4A4A4A2323232323232323232323232323232323232323303000004B4B4B4B4B4B4C4B4B4B4B4B4C4B4B4B4B4B4B4B2323232323232423232323232423232323232323303000004D4D4D4D4D4D4D4D4D4D4D4D4D4D"&amp;"4D4D4D4D4D4D2323232323232323232323232323232323232323303001014E4E4E4E4E4E4E4E4E4E4E4E4E4E4E4E4E4E4E4E2323232323232323232323232323232323232323303001004F4F4F4F4F4F504F4F4F4F4F504F4F4F4F4F4F4F2323232323232423232323232423232323232323303001005151515151515151515"&amp;"151515151515151515151232323232323232323232323232323232323232330300100525252525252525252525252525252525252525223232323232323232323232323232323232323233030010153535353535353535353535353535353535353532323232323232323232323232323232323232323303001015454545454"&amp;"545454545454545454545454545454232323232323232323232323232323232323232330300101555555555555555555555555555555555555555523232323232323232323232323232323232323233030010156565656565656565656565656565656565656562323232323232323232323232323232323232323303001005"&amp;"757575757575757575757575757575757575757232323232323232323232323232323232323232330300100585858585858585858585858585858585858585823232323232323232323232323232323232323233030010059595959595959595959595959595959595959592323232323232323232323232323232323232323"&amp;"303001005A5A5A5A5A5A5A5A5A5A5A5A5A5A5A5A5A5A5A5A2323232323232323232323232323232323232323303001005B5B5B5B5B5B5B5B5B5B5B5B5B5B5B5B5B5B5B5B2323232323232323232323232323232323232323303000005C5C5C5C5C5C5C5C5C5C5C5C5C5C5C5C5C5C5C5C2323232323232323232323232323232"&amp;"323232323303001005D5D5D5D5D5D5D5D5D5D5D5D5D5D5D5D5D5D5D5D2323232323232323232323232323232323232323303001015F5F5F5F5F5F5F5F5F5F5F5F5F5F5F5F5F5F5F5F23232323232323232323232323232323232323233030010160606060606060606060606060606060606060602323232323232323232323"&amp;"232323232323232323303001016262626262626262626262626262626262626262232323232323232323232323232323232323232330300101636363636363636363636363636363636363636323232323232323232323232323232323232323233030010164646464646461646464646464646464646464642323232323232"&amp;"423232323232423232323232323303001016565656565656165656565656565656565656565232323232323242323232323242323232323232330300100666666666666666666666666666666666666666627272727272727272727272727272727272727273030000067676767676767676767676767676767676767672323"&amp;"23232323232323232323232323232323232330300000686868686868686868686868686868686868686823232323232324232323232323232323232323233030010169696969696969696969696969696969696969692323232323232423232323232323232323232323303001006A6A6A6A6A6A6A6A6A6A6A6A6A6A6A6A6A6"&amp;"A6A6A2323232323232423232323232323232323232323303001016B6B6B6B6B6B6B6B6B6B6B6B6B6B6B6B6B6B6B6B2323232323232423232323232323232323232323303001016C6C6C6C6C6C6C6C6C6C6C6C6C6C6C6C6C6C6C6C2323232323232423232323232323232323232323303000006D6D6D6D6D6D6D6D6D6D6D6D6D"&amp;"6D6D6D6D6D6D6D2828282828282428282828282828282828282828303000006E6E6E6E6E6E6E6E6E6E6E6E6E6E6E6E6E6E6E6E2323232323232423232323232323232323232323303001006F6F6F6F6F6F6F6F6F6F6F6F6F6F6F6F6F6F6F6F23232323232324232323232323232323232323233030010170707070707061707"&amp;"070707061707070707070702323232323232423232323232323232323232323303001017171717171717171717171717171717171717171232323232323242323232323232323232323232330300000727272727272727272727272727272727272727223232323232324232323232323232323232323233030010073737373"&amp;"7373737373737373737373737373737329292929292924292929292929292929292929293030010074747474747474747474747474747474747474742A2A2A2A2A2A242A2A2A2A2A2A2A2A2A2A2A2A2A30300000FFFFFFFFFFFFFFFFFFFFFFFFFFFFFFFFFFFFFFFFFFFFFFFFFFFFFFFFFFFFFFFFFFFFFFFFFFFFFFFF3030010"&amp;"0FFFFFFFFFFFFFFFFFFFFFFFFFFFFFFFFFFFFFFFFFFFFFFFFFFFFFFFFFFFFFFFFFFFFFFFFFFFFFFFF30300000FFFFFFFFFFFFFFFFFFFFFFFFFFFFFFFFFFFFFFFFFFFFFFFFFFFFFFFFFFFFFFFFFFFFFFFFFFFFFFFF30300000FFFFFFFFFFFFFFFFFFFFFFFFFFFFFFFFFFFFFFFFFFFFFFFFFFFFFFFFFFFFFFFFFFFFFFFFFFFFFF"&amp;"FF30300000FFFFFFFFFFFFFFFFFFFFFFFFFFFFFFFFFFFFFFFFFFFFFFFFFFFFFFFFFFFFFFFFFFFFFFFFFFFFFFFF30300100FFFFFFFFFFFFFFFFFFFFFFFFFFFFFFFFFFFFFFFFFFFFFFFFFFFFFFFFFFFFFFFFFFFFFFFFFFFFFFFF30300000FFFFFFFFFFFFFFFFFFFFFFFFFFFFFFFFFFFFFFFFFFFFFFFFFFFFFFFFFFFFFFFFFFFFF"&amp;"FFFFFFFFFFF3030")</f>
        <v>01000000000000000000000000000800000B11002A2605000101181708000A0C040C0A0D030E14191E1D303001010101010101010101010101010801010B11012A2606010101181608010A0C040C0A0D030E14191E1D303001000202020202020202020202020802020B11022B2705000101181708000A0C040C0A0D030E14191F1D303001010303030303030303030303030803030B11032B2706010101181608010A0C040C0A0D030E14191F1D3030000004040404040404FF040404040804040B11042B2705000101041709000B0C040C0A0D030E14191F1D3030000005050505050505FF050505050805050B11052C2805000101041709040B0C040C0A0D030E1419201D303001010606060606060606060606060806060B11062C2805000101051709000A0C040C0A0D030E1419201D303001010707070707070707070707070707070B11072C2805070101071708010A0C000C0A0D030E1419201D3030010108080808080808FF080808080808080B11082C2805000101081708000A0C040C0A0D030E1419201D3030000009090909090909FF090909090909090B11092D2905030101031709000B0C040C0B0D030E1419211D303001000A0A0A0A0A0A0A0A0A0A0A0A0A0A0A0B110A2D2905180101001708000A0C040C0A0D030E1419211D303000000C0C0C0C0C0C0C0C0C0C0C0C0C0C0C0C0C0C2D290F0F0F0F0F0F0F0F0F0F0F0F0F0F0F0F0F0F211D303000000D0D0D0D0D0D0D0D0D0D0D0D0D0D0D0D0D0D2D29101010101010101010101010101010101010211D303000000E0E0E0E0E0E0E0E0E0E0E0E0E0E0E0E0E0E2D29111111111111111111111111111111111111211D303000000F0F0F0F0F0F0F0F0F0F0F0F0F0F0F0F0F0F2D29121212121212121212121212121212121212211D303000001010101010101010101010101010101010102D29131313131313131313131313131313131313211D303000001212121212121212121212121212121212122D29151515151515151515151515151515151515211D303000001010101010101010101010101010101010102D29151515151515151515151515151515151515211D303000001313131313131313131313131313131313132D29030303030303030303030303030303030303211D303000002E2E2E2E2E2E2E2E2E2E2E2E2E2E2E2E2E2E2D29222222222222222222222222222222222222211D303000002525252525252525252425242524252425242D291C1C1C1C1C1C1C1C1C1C1C1C1C1C1C1C1C1C211D303000002F2F2F2F2F2F2F2F2F2F2F2F2F2F2F2F2F2F2F2F23232323232323232323232324232323232323233030010131313131313132313131313132313131313131312323232323232423232323232423232323232323303001013333333333336133333333336133333333333333232323232323242323232323242323232323232330300101343434343434613434343434613434343434343423232323232324232323232324232323232323233030010136363636363661363636363661363636363636362323232323232423232323232423232323232323303001013737373737373537373737373737373737373737232323232323242323232323242323232323232330300000383838383838383838383838383838383838383823232323232323232323232323232323232323233030000039393939393939393939393939393939393939392323232323232323232323232323232323232323303001013A3A3A3A3A3A3A3A3A3A3A3A3A3A3A3A3A3A3A3A2323232323232323232323232323232323232323303001013B3B3B3B3B3B3B3B3B3B3B3B3B3B3B3B3B3B3B3B2323232323232323232323232323232323232323303001013C3C3C3C3C3C3C3C3C3C3C3C3C3C3C3C3C3C3C3C2323232323232323232323232323232323232323303001013D3D3D3D3D3D3D3D3D3D3D3D3D3D3D3D3D3D3D3D2323232323232323232323232323232323232323303001013E3E3E3E3E3E3E3E3E3E3E3E3E3E3E3E3E3E3E3E23232323232323232323232323232323232323233030010140404040404040404040404040404040404040402424242424242424242424242424242424242423303001004141414141414141414141414141414141414141252525252525252525252525252525252525252530300100424242424242404242424242404242424242424225252525252525252525252525252525252525253030010043434343434343434343434343434343434343432525252525252525252525252525252525252525303001014444444444443044444444443044444444444444232323232323232323232323232323232323232330300101454545454545404545454545404545454545454523232323232324232323232324232323232323233030010146464646464646464646464646464646464646462323232323232323232323232323232323232326303000004747474747474747474747474747474747474747262626262626262626262626262626262626262630300100484848484848484848484848484848484848484826262626262626262626262626262626262626263030010049494949494949494949494949494949494949492323232323232323232323232323232323232323303001004A4A4A4A4A4A4A4A4A4A4A4A4A4A4A4A4A4A4A4A2323232323232323232323232323232323232323303000004B4B4B4B4B4B4C4B4B4B4B4B4C4B4B4B4B4B4B4B2323232323232423232323232423232323232323303000004D4D4D4D4D4D4D4D4D4D4D4D4D4D4D4D4D4D4D4D2323232323232323232323232323232323232323303001014E4E4E4E4E4E4E4E4E4E4E4E4E4E4E4E4E4E4E4E2323232323232323232323232323232323232323303001004F4F4F4F4F4F504F4F4F4F4F504F4F4F4F4F4F4F2323232323232423232323232423232323232323303001005151515151515151515151515151515151515151232323232323232323232323232323232323232330300100525252525252525252525252525252525252525223232323232323232323232323232323232323233030010153535353535353535353535353535353535353532323232323232323232323232323232323232323303001015454545454545454545454545454545454545454232323232323232323232323232323232323232330300101555555555555555555555555555555555555555523232323232323232323232323232323232323233030010156565656565656565656565656565656565656562323232323232323232323232323232323232323303001005757575757575757575757575757575757575757232323232323232323232323232323232323232330300100585858585858585858585858585858585858585823232323232323232323232323232323232323233030010059595959595959595959595959595959595959592323232323232323232323232323232323232323303001005A5A5A5A5A5A5A5A5A5A5A5A5A5A5A5A5A5A5A5A2323232323232323232323232323232323232323303001005B5B5B5B5B5B5B5B5B5B5B5B5B5B5B5B5B5B5B5B2323232323232323232323232323232323232323303000005C5C5C5C5C5C5C5C5C5C5C5C5C5C5C5C5C5C5C5C2323232323232323232323232323232323232323303001005D5D5D5D5D5D5D5D5D5D5D5D5D5D5D5D5D5D5D5D2323232323232323232323232323232323232323303001015F5F5F5F5F5F5F5F5F5F5F5F5F5F5F5F5F5F5F5F2323232323232323232323232323232323232323303001016060606060606060606060606060606060606060232323232323232323232323232323232323232330300101626262626262626262626262626262626262626223232323232323232323232323232323232323233030010163636363636363636363636363636363636363632323232323232323232323232323232323232323303001016464646464646164646464646464646464646464232323232323242323232323242323232323232330300101656565656565616565656565656565656565656523232323232324232323232324232323232323233030010066666666666666666666666666666666666666662727272727272727272727272727272727272727303000006767676767676767676767676767676767676767232323232323232323232323232323232323232330300000686868686868686868686868686868686868686823232323232324232323232323232323232323233030010169696969696969696969696969696969696969692323232323232423232323232323232323232323303001006A6A6A6A6A6A6A6A6A6A6A6A6A6A6A6A6A6A6A6A2323232323232423232323232323232323232323303001016B6B6B6B6B6B6B6B6B6B6B6B6B6B6B6B6B6B6B6B2323232323232423232323232323232323232323303001016C6C6C6C6C6C6C6C6C6C6C6C6C6C6C6C6C6C6C6C2323232323232423232323232323232323232323303000006D6D6D6D6D6D6D6D6D6D6D6D6D6D6D6D6D6D6D6D2828282828282428282828282828282828282828303000006E6E6E6E6E6E6E6E6E6E6E6E6E6E6E6E6E6E6E6E2323232323232423232323232323232323232323303001006F6F6F6F6F6F6F6F6F6F6F6F6F6F6F6F6F6F6F6F232323232323242323232323232323232323232330300101707070707070617070707070617070707070707023232323232324232323232323232323232323233030010171717171717171717171717171717171717171712323232323232423232323232323232323232323303000007272727272727272727272727272727272727272232323232323242323232323232323232323232330300100737373737373737373737373737373737373737329292929292924292929292929292929292929293030010074747474747474747474747474747474747474742A2A2A2A2A2A242A2A2A2A2A2A2A2A2A2A2A2A2A30300000FFFFFFFFFFFFFFFFFFFFFFFFFFFFFFFFFFFFFFFFFFFFFFFFFFFFFFFFFFFFFFFFFFFFFFFFFFFFFFFF30300100FFFFFFFFFFFFFFFFFFFFFFFFFFFFFFFFFFFFFFFFFFFFFFFFFFFFFFFFFFFFFFFFFFFFFFFFFFFFFFFF30300000FFFFFFFFFFFFFFFFFFFFFFFFFFFFFFFFFFFFFFFFFFFFFFFFFFFFFFFFFFFFFFFFFFFFFFFFFFFFFFFF30300000FFFFFFFFFFFFFFFFFFFFFFFFFFFFFFFFFFFFFFFFFFFFFFFFFFFFFFFFFFFFFFFFFFFFFFFFFFFFFFFF30300000FFFFFFFFFFFFFFFFFFFFFFFFFFFFFFFFFFFFFFFFFFFFFFFFFFFFFFFFFFFFFFFFFFFFFFFFFFFFFFFF30300100FFFFFFFFFFFFFFFFFFFFFFFFFFFFFFFFFFFFFFFFFFFFFFFFFFFFFFFFFFFFFFFFFFFFFFFFFFFFFFFF30300000FFFFFFFFFFFFFFFFFFFFFFFFFFFFFFFFFFFFFFFFFFFFFFFFFFFFFFFFFFFFFFFFFFFFFFFFFFFFFFFF3030</v>
      </c>
      <c r="AH4" s="3"/>
      <c r="AI4" s="3"/>
      <c r="AJ4" s="3"/>
      <c r="AK4" s="3"/>
      <c r="AL4" s="3"/>
      <c r="AM4" s="3"/>
      <c r="AN4" s="3"/>
      <c r="AO4" s="3"/>
      <c r="AP4" s="3"/>
      <c r="AQ4" s="4"/>
    </row>
    <row r="5">
      <c r="B5" s="6"/>
      <c r="C5" s="7"/>
      <c r="M5" s="8"/>
      <c r="P5" s="7"/>
      <c r="Q5" s="8"/>
      <c r="R5" s="7"/>
      <c r="AB5" s="8"/>
      <c r="AE5" s="7"/>
      <c r="AF5" s="8"/>
      <c r="AG5" s="7"/>
      <c r="AQ5" s="8"/>
    </row>
    <row r="6">
      <c r="B6" s="9"/>
      <c r="C6" s="7"/>
      <c r="M6" s="8"/>
      <c r="P6" s="10"/>
      <c r="Q6" s="11"/>
      <c r="R6" s="7"/>
      <c r="AB6" s="8"/>
      <c r="AE6" s="10"/>
      <c r="AF6" s="11"/>
      <c r="AG6" s="7"/>
      <c r="AQ6" s="8"/>
    </row>
    <row r="7">
      <c r="C7" s="7"/>
      <c r="M7" s="8"/>
      <c r="R7" s="7"/>
      <c r="AB7" s="8"/>
      <c r="AG7" s="7"/>
      <c r="AQ7" s="8"/>
    </row>
    <row r="8">
      <c r="C8" s="7"/>
      <c r="M8" s="8"/>
      <c r="R8" s="7"/>
      <c r="AB8" s="8"/>
      <c r="AG8" s="7"/>
      <c r="AQ8" s="8"/>
    </row>
    <row r="9">
      <c r="C9" s="7"/>
      <c r="M9" s="8"/>
      <c r="R9" s="7"/>
      <c r="AB9" s="8"/>
      <c r="AG9" s="7"/>
      <c r="AQ9" s="8"/>
    </row>
    <row r="10">
      <c r="C10" s="7"/>
      <c r="M10" s="8"/>
      <c r="R10" s="7"/>
      <c r="AB10" s="8"/>
      <c r="AG10" s="7"/>
      <c r="AQ10" s="8"/>
    </row>
    <row r="11">
      <c r="C11" s="7"/>
      <c r="M11" s="8"/>
      <c r="R11" s="7"/>
      <c r="AB11" s="8"/>
      <c r="AG11" s="7"/>
      <c r="AQ11" s="8"/>
    </row>
    <row r="12">
      <c r="C12" s="7"/>
      <c r="M12" s="8"/>
      <c r="R12" s="7"/>
      <c r="AB12" s="8"/>
      <c r="AG12" s="7"/>
      <c r="AQ12" s="8"/>
    </row>
    <row r="13">
      <c r="C13" s="7"/>
      <c r="M13" s="8"/>
      <c r="R13" s="7"/>
      <c r="AB13" s="8"/>
      <c r="AG13" s="7"/>
      <c r="AQ13" s="8"/>
    </row>
    <row r="14">
      <c r="C14" s="7"/>
      <c r="M14" s="8"/>
      <c r="R14" s="7"/>
      <c r="AB14" s="8"/>
      <c r="AG14" s="7"/>
      <c r="AQ14" s="8"/>
    </row>
    <row r="15">
      <c r="C15" s="7"/>
      <c r="M15" s="8"/>
      <c r="R15" s="7"/>
      <c r="AB15" s="8"/>
      <c r="AG15" s="7"/>
      <c r="AQ15" s="8"/>
    </row>
    <row r="16">
      <c r="C16" s="7"/>
      <c r="M16" s="8"/>
      <c r="R16" s="7"/>
      <c r="AB16" s="8"/>
      <c r="AG16" s="7"/>
      <c r="AQ16" s="8"/>
    </row>
    <row r="17">
      <c r="C17" s="7"/>
      <c r="M17" s="8"/>
      <c r="R17" s="7"/>
      <c r="AB17" s="8"/>
      <c r="AG17" s="7"/>
      <c r="AQ17" s="8"/>
    </row>
    <row r="18">
      <c r="C18" s="7"/>
      <c r="M18" s="8"/>
      <c r="R18" s="7"/>
      <c r="AB18" s="8"/>
      <c r="AG18" s="7"/>
      <c r="AQ18" s="8"/>
    </row>
    <row r="19">
      <c r="C19" s="7"/>
      <c r="M19" s="8"/>
      <c r="R19" s="7"/>
      <c r="AB19" s="8"/>
      <c r="AG19" s="7"/>
      <c r="AQ19" s="8"/>
    </row>
    <row r="20">
      <c r="C20" s="7"/>
      <c r="M20" s="8"/>
      <c r="R20" s="7"/>
      <c r="AB20" s="8"/>
      <c r="AG20" s="7"/>
      <c r="AQ20" s="8"/>
    </row>
    <row r="21">
      <c r="C21" s="7"/>
      <c r="M21" s="8"/>
      <c r="R21" s="7"/>
      <c r="AB21" s="8"/>
      <c r="AG21" s="7"/>
      <c r="AQ21" s="8"/>
    </row>
    <row r="22">
      <c r="C22" s="7"/>
      <c r="M22" s="8"/>
      <c r="R22" s="7"/>
      <c r="AB22" s="8"/>
      <c r="AG22" s="7"/>
      <c r="AQ22" s="8"/>
    </row>
    <row r="23">
      <c r="C23" s="7"/>
      <c r="M23" s="8"/>
      <c r="R23" s="7"/>
      <c r="AB23" s="8"/>
      <c r="AG23" s="7"/>
      <c r="AQ23" s="8"/>
    </row>
    <row r="24">
      <c r="C24" s="7"/>
      <c r="M24" s="8"/>
      <c r="R24" s="7"/>
      <c r="AB24" s="8"/>
      <c r="AG24" s="7"/>
      <c r="AQ24" s="8"/>
    </row>
    <row r="25">
      <c r="C25" s="7"/>
      <c r="M25" s="8"/>
      <c r="R25" s="7"/>
      <c r="AB25" s="8"/>
      <c r="AG25" s="7"/>
      <c r="AQ25" s="8"/>
    </row>
    <row r="26">
      <c r="C26" s="7"/>
      <c r="M26" s="8"/>
      <c r="R26" s="7"/>
      <c r="AB26" s="8"/>
      <c r="AG26" s="7"/>
      <c r="AQ26" s="8"/>
    </row>
    <row r="27">
      <c r="C27" s="7"/>
      <c r="M27" s="8"/>
      <c r="R27" s="7"/>
      <c r="AB27" s="8"/>
      <c r="AG27" s="7"/>
      <c r="AQ27" s="8"/>
    </row>
    <row r="28">
      <c r="C28" s="7"/>
      <c r="M28" s="8"/>
      <c r="R28" s="7"/>
      <c r="AB28" s="8"/>
      <c r="AG28" s="7"/>
      <c r="AQ28" s="8"/>
    </row>
    <row r="29">
      <c r="C29" s="7"/>
      <c r="M29" s="8"/>
      <c r="R29" s="7"/>
      <c r="AB29" s="8"/>
      <c r="AG29" s="7"/>
      <c r="AQ29" s="8"/>
    </row>
    <row r="30">
      <c r="C30" s="7"/>
      <c r="M30" s="8"/>
      <c r="R30" s="7"/>
      <c r="AB30" s="8"/>
      <c r="AG30" s="7"/>
      <c r="AQ30" s="8"/>
    </row>
    <row r="31">
      <c r="C31" s="7"/>
      <c r="M31" s="8"/>
      <c r="R31" s="7"/>
      <c r="AB31" s="8"/>
      <c r="AG31" s="7"/>
      <c r="AQ31" s="8"/>
    </row>
    <row r="32">
      <c r="C32" s="7"/>
      <c r="M32" s="8"/>
      <c r="R32" s="7"/>
      <c r="AB32" s="8"/>
      <c r="AG32" s="7"/>
      <c r="AQ32" s="8"/>
    </row>
    <row r="33">
      <c r="C33" s="7"/>
      <c r="M33" s="8"/>
      <c r="R33" s="7"/>
      <c r="AB33" s="8"/>
      <c r="AG33" s="7"/>
      <c r="AQ33" s="8"/>
    </row>
    <row r="34">
      <c r="C34" s="10"/>
      <c r="D34" s="12"/>
      <c r="E34" s="12"/>
      <c r="F34" s="12"/>
      <c r="G34" s="12"/>
      <c r="H34" s="12"/>
      <c r="I34" s="12"/>
      <c r="J34" s="12"/>
      <c r="K34" s="12"/>
      <c r="L34" s="12"/>
      <c r="M34" s="11"/>
      <c r="R34" s="10"/>
      <c r="S34" s="12"/>
      <c r="T34" s="12"/>
      <c r="U34" s="12"/>
      <c r="V34" s="12"/>
      <c r="W34" s="12"/>
      <c r="X34" s="12"/>
      <c r="Y34" s="12"/>
      <c r="Z34" s="12"/>
      <c r="AA34" s="12"/>
      <c r="AB34" s="11"/>
      <c r="AG34" s="10"/>
      <c r="AH34" s="12"/>
      <c r="AI34" s="12"/>
      <c r="AJ34" s="12"/>
      <c r="AK34" s="12"/>
      <c r="AL34" s="12"/>
      <c r="AM34" s="12"/>
      <c r="AN34" s="12"/>
      <c r="AO34" s="12"/>
      <c r="AP34" s="12"/>
      <c r="AQ34" s="11"/>
    </row>
    <row r="38">
      <c r="B38" s="13" t="s">
        <v>3</v>
      </c>
      <c r="C38" s="14" t="s">
        <v>4</v>
      </c>
      <c r="D38" s="14" t="s">
        <v>5</v>
      </c>
      <c r="E38" s="15" t="s">
        <v>5</v>
      </c>
      <c r="F38" s="16" t="s">
        <v>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17"/>
      <c r="Z38" s="15" t="s">
        <v>7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17"/>
      <c r="AT38" s="15" t="s">
        <v>8</v>
      </c>
      <c r="AU38" s="4"/>
    </row>
    <row r="39">
      <c r="A39" s="18"/>
      <c r="B39" s="10"/>
      <c r="C39" s="19"/>
      <c r="D39" s="19" t="s">
        <v>9</v>
      </c>
      <c r="E39" s="20" t="s">
        <v>10</v>
      </c>
      <c r="F39" s="21" t="s">
        <v>11</v>
      </c>
      <c r="G39" s="20" t="s">
        <v>12</v>
      </c>
      <c r="H39" s="20" t="s">
        <v>13</v>
      </c>
      <c r="I39" s="20" t="s">
        <v>14</v>
      </c>
      <c r="J39" s="20" t="s">
        <v>15</v>
      </c>
      <c r="K39" s="20" t="s">
        <v>16</v>
      </c>
      <c r="L39" s="20" t="s">
        <v>17</v>
      </c>
      <c r="M39" s="20" t="s">
        <v>18</v>
      </c>
      <c r="N39" s="20" t="s">
        <v>19</v>
      </c>
      <c r="O39" s="20" t="s">
        <v>20</v>
      </c>
      <c r="P39" s="20" t="s">
        <v>21</v>
      </c>
      <c r="Q39" s="20" t="s">
        <v>22</v>
      </c>
      <c r="R39" s="20" t="s">
        <v>23</v>
      </c>
      <c r="S39" s="20" t="s">
        <v>24</v>
      </c>
      <c r="T39" s="20" t="s">
        <v>25</v>
      </c>
      <c r="U39" s="20" t="s">
        <v>26</v>
      </c>
      <c r="V39" s="20" t="s">
        <v>27</v>
      </c>
      <c r="W39" s="20" t="s">
        <v>28</v>
      </c>
      <c r="X39" s="20" t="s">
        <v>29</v>
      </c>
      <c r="Y39" s="22" t="s">
        <v>30</v>
      </c>
      <c r="Z39" s="21" t="s">
        <v>11</v>
      </c>
      <c r="AA39" s="20" t="s">
        <v>12</v>
      </c>
      <c r="AB39" s="20" t="s">
        <v>13</v>
      </c>
      <c r="AC39" s="20" t="s">
        <v>14</v>
      </c>
      <c r="AD39" s="20" t="s">
        <v>15</v>
      </c>
      <c r="AE39" s="20" t="s">
        <v>16</v>
      </c>
      <c r="AF39" s="20" t="s">
        <v>17</v>
      </c>
      <c r="AG39" s="20" t="s">
        <v>18</v>
      </c>
      <c r="AH39" s="20" t="s">
        <v>19</v>
      </c>
      <c r="AI39" s="20" t="s">
        <v>20</v>
      </c>
      <c r="AJ39" s="20" t="s">
        <v>21</v>
      </c>
      <c r="AK39" s="20" t="s">
        <v>22</v>
      </c>
      <c r="AL39" s="20" t="s">
        <v>23</v>
      </c>
      <c r="AM39" s="20" t="s">
        <v>24</v>
      </c>
      <c r="AN39" s="20" t="s">
        <v>25</v>
      </c>
      <c r="AO39" s="20" t="s">
        <v>26</v>
      </c>
      <c r="AP39" s="20" t="s">
        <v>27</v>
      </c>
      <c r="AQ39" s="20" t="s">
        <v>28</v>
      </c>
      <c r="AR39" s="20" t="s">
        <v>29</v>
      </c>
      <c r="AS39" s="22" t="s">
        <v>30</v>
      </c>
      <c r="AT39" s="12"/>
      <c r="AU39" s="11"/>
      <c r="AV39" s="23"/>
    </row>
    <row r="40">
      <c r="B40" s="24">
        <v>0.0</v>
      </c>
      <c r="C40" s="25" t="s">
        <v>11</v>
      </c>
      <c r="D40" s="25">
        <v>1.0</v>
      </c>
      <c r="E40" s="25">
        <v>0.0</v>
      </c>
      <c r="F40" s="26">
        <v>0.0</v>
      </c>
      <c r="G40" s="26">
        <v>0.0</v>
      </c>
      <c r="H40" s="26">
        <v>0.0</v>
      </c>
      <c r="I40" s="26">
        <v>0.0</v>
      </c>
      <c r="J40" s="26">
        <v>0.0</v>
      </c>
      <c r="K40" s="26">
        <v>0.0</v>
      </c>
      <c r="L40" s="26">
        <v>0.0</v>
      </c>
      <c r="M40" s="26">
        <v>0.0</v>
      </c>
      <c r="N40" s="26">
        <v>0.0</v>
      </c>
      <c r="O40" s="26">
        <v>0.0</v>
      </c>
      <c r="P40" s="26">
        <v>0.0</v>
      </c>
      <c r="Q40" s="26">
        <v>0.0</v>
      </c>
      <c r="R40" s="26">
        <v>8.0</v>
      </c>
      <c r="S40" s="26">
        <v>0.0</v>
      </c>
      <c r="T40" s="26">
        <v>0.0</v>
      </c>
      <c r="U40" s="26">
        <v>11.0</v>
      </c>
      <c r="V40" s="26">
        <v>17.0</v>
      </c>
      <c r="W40" s="26">
        <v>0.0</v>
      </c>
      <c r="X40" s="26">
        <v>42.0</v>
      </c>
      <c r="Y40" s="25">
        <v>38.0</v>
      </c>
      <c r="Z40" s="26">
        <v>5.0</v>
      </c>
      <c r="AA40" s="26">
        <v>0.0</v>
      </c>
      <c r="AB40" s="26">
        <v>1.0</v>
      </c>
      <c r="AC40" s="26">
        <v>1.0</v>
      </c>
      <c r="AD40" s="26">
        <v>24.0</v>
      </c>
      <c r="AE40" s="26">
        <v>23.0</v>
      </c>
      <c r="AF40" s="26">
        <v>8.0</v>
      </c>
      <c r="AG40" s="26">
        <v>0.0</v>
      </c>
      <c r="AH40" s="26">
        <v>10.0</v>
      </c>
      <c r="AI40" s="26">
        <v>12.0</v>
      </c>
      <c r="AJ40" s="26">
        <v>4.0</v>
      </c>
      <c r="AK40" s="26">
        <v>12.0</v>
      </c>
      <c r="AL40" s="26">
        <v>10.0</v>
      </c>
      <c r="AM40" s="26">
        <v>13.0</v>
      </c>
      <c r="AN40" s="26">
        <v>3.0</v>
      </c>
      <c r="AO40" s="26">
        <v>14.0</v>
      </c>
      <c r="AP40" s="26">
        <v>20.0</v>
      </c>
      <c r="AQ40" s="26">
        <v>25.0</v>
      </c>
      <c r="AR40" s="26">
        <v>30.0</v>
      </c>
      <c r="AS40" s="25">
        <v>29.0</v>
      </c>
      <c r="AT40" s="26">
        <v>48.0</v>
      </c>
      <c r="AU40" s="27">
        <v>48.0</v>
      </c>
    </row>
    <row r="41">
      <c r="B41" s="24">
        <v>1.0</v>
      </c>
      <c r="C41" s="25" t="s">
        <v>31</v>
      </c>
      <c r="D41" s="25">
        <v>1.0</v>
      </c>
      <c r="E41" s="25">
        <v>1.0</v>
      </c>
      <c r="F41" s="26">
        <v>1.0</v>
      </c>
      <c r="G41" s="26">
        <v>1.0</v>
      </c>
      <c r="H41" s="26">
        <v>1.0</v>
      </c>
      <c r="I41" s="26">
        <v>1.0</v>
      </c>
      <c r="J41" s="26">
        <v>1.0</v>
      </c>
      <c r="K41" s="26">
        <v>1.0</v>
      </c>
      <c r="L41" s="26">
        <v>1.0</v>
      </c>
      <c r="M41" s="26">
        <v>1.0</v>
      </c>
      <c r="N41" s="26">
        <v>1.0</v>
      </c>
      <c r="O41" s="26">
        <v>1.0</v>
      </c>
      <c r="P41" s="26">
        <v>1.0</v>
      </c>
      <c r="Q41" s="26">
        <v>1.0</v>
      </c>
      <c r="R41" s="26">
        <v>8.0</v>
      </c>
      <c r="S41" s="26">
        <v>1.0</v>
      </c>
      <c r="T41" s="26">
        <v>1.0</v>
      </c>
      <c r="U41" s="26">
        <v>11.0</v>
      </c>
      <c r="V41" s="26">
        <v>17.0</v>
      </c>
      <c r="W41" s="26">
        <v>1.0</v>
      </c>
      <c r="X41" s="26">
        <v>42.0</v>
      </c>
      <c r="Y41" s="25">
        <v>38.0</v>
      </c>
      <c r="Z41" s="26">
        <v>6.0</v>
      </c>
      <c r="AA41" s="26">
        <v>1.0</v>
      </c>
      <c r="AB41" s="26">
        <v>1.0</v>
      </c>
      <c r="AC41" s="26">
        <v>1.0</v>
      </c>
      <c r="AD41" s="26">
        <v>24.0</v>
      </c>
      <c r="AE41" s="26">
        <v>22.0</v>
      </c>
      <c r="AF41" s="26">
        <v>8.0</v>
      </c>
      <c r="AG41" s="26">
        <v>1.0</v>
      </c>
      <c r="AH41" s="26">
        <v>10.0</v>
      </c>
      <c r="AI41" s="26">
        <v>12.0</v>
      </c>
      <c r="AJ41" s="26">
        <v>4.0</v>
      </c>
      <c r="AK41" s="26">
        <v>12.0</v>
      </c>
      <c r="AL41" s="26">
        <v>10.0</v>
      </c>
      <c r="AM41" s="26">
        <v>13.0</v>
      </c>
      <c r="AN41" s="26">
        <v>3.0</v>
      </c>
      <c r="AO41" s="26">
        <v>14.0</v>
      </c>
      <c r="AP41" s="26">
        <v>20.0</v>
      </c>
      <c r="AQ41" s="26">
        <v>25.0</v>
      </c>
      <c r="AR41" s="26">
        <v>30.0</v>
      </c>
      <c r="AS41" s="25">
        <v>29.0</v>
      </c>
      <c r="AT41" s="26">
        <v>48.0</v>
      </c>
      <c r="AU41" s="27">
        <v>48.0</v>
      </c>
    </row>
    <row r="42">
      <c r="B42" s="24">
        <v>2.0</v>
      </c>
      <c r="C42" s="25" t="s">
        <v>32</v>
      </c>
      <c r="D42" s="25">
        <v>1.0</v>
      </c>
      <c r="E42" s="25">
        <v>0.0</v>
      </c>
      <c r="F42" s="26">
        <v>2.0</v>
      </c>
      <c r="G42" s="26">
        <f t="shared" ref="G42:Q42" si="1">F42</f>
        <v>2</v>
      </c>
      <c r="H42" s="26">
        <f t="shared" si="1"/>
        <v>2</v>
      </c>
      <c r="I42" s="26">
        <f t="shared" si="1"/>
        <v>2</v>
      </c>
      <c r="J42" s="26">
        <f t="shared" si="1"/>
        <v>2</v>
      </c>
      <c r="K42" s="26">
        <f t="shared" si="1"/>
        <v>2</v>
      </c>
      <c r="L42" s="26">
        <f t="shared" si="1"/>
        <v>2</v>
      </c>
      <c r="M42" s="26">
        <f t="shared" si="1"/>
        <v>2</v>
      </c>
      <c r="N42" s="26">
        <f t="shared" si="1"/>
        <v>2</v>
      </c>
      <c r="O42" s="26">
        <f t="shared" si="1"/>
        <v>2</v>
      </c>
      <c r="P42" s="26">
        <f t="shared" si="1"/>
        <v>2</v>
      </c>
      <c r="Q42" s="26">
        <f t="shared" si="1"/>
        <v>2</v>
      </c>
      <c r="R42" s="26">
        <v>8.0</v>
      </c>
      <c r="S42" s="28">
        <f t="shared" ref="S42:S43" si="3">F42</f>
        <v>2</v>
      </c>
      <c r="T42" s="28">
        <f t="shared" ref="T42:T43" si="4">F42</f>
        <v>2</v>
      </c>
      <c r="U42" s="26">
        <v>11.0</v>
      </c>
      <c r="V42" s="26">
        <v>17.0</v>
      </c>
      <c r="W42" s="28">
        <f t="shared" ref="W42:W47" si="5">F42</f>
        <v>2</v>
      </c>
      <c r="X42" s="26">
        <v>43.0</v>
      </c>
      <c r="Y42" s="25">
        <v>39.0</v>
      </c>
      <c r="Z42" s="26">
        <v>5.0</v>
      </c>
      <c r="AA42" s="26">
        <v>0.0</v>
      </c>
      <c r="AB42" s="26">
        <v>1.0</v>
      </c>
      <c r="AC42" s="26">
        <v>1.0</v>
      </c>
      <c r="AD42" s="26">
        <v>24.0</v>
      </c>
      <c r="AE42" s="26">
        <v>23.0</v>
      </c>
      <c r="AF42" s="26">
        <v>8.0</v>
      </c>
      <c r="AG42" s="26">
        <v>0.0</v>
      </c>
      <c r="AH42" s="26">
        <v>10.0</v>
      </c>
      <c r="AI42" s="26">
        <v>12.0</v>
      </c>
      <c r="AJ42" s="26">
        <v>4.0</v>
      </c>
      <c r="AK42" s="26">
        <v>12.0</v>
      </c>
      <c r="AL42" s="26">
        <v>10.0</v>
      </c>
      <c r="AM42" s="26">
        <v>13.0</v>
      </c>
      <c r="AN42" s="26">
        <v>3.0</v>
      </c>
      <c r="AO42" s="26">
        <v>14.0</v>
      </c>
      <c r="AP42" s="26">
        <v>20.0</v>
      </c>
      <c r="AQ42" s="26">
        <v>25.0</v>
      </c>
      <c r="AR42" s="26">
        <v>31.0</v>
      </c>
      <c r="AS42" s="25">
        <v>29.0</v>
      </c>
      <c r="AT42" s="26">
        <v>48.0</v>
      </c>
      <c r="AU42" s="27">
        <v>48.0</v>
      </c>
    </row>
    <row r="43">
      <c r="B43" s="24">
        <v>3.0</v>
      </c>
      <c r="C43" s="25" t="s">
        <v>33</v>
      </c>
      <c r="D43" s="25">
        <v>1.0</v>
      </c>
      <c r="E43" s="25">
        <v>1.0</v>
      </c>
      <c r="F43" s="26">
        <v>3.0</v>
      </c>
      <c r="G43" s="26">
        <f t="shared" ref="G43:Q43" si="2">F43</f>
        <v>3</v>
      </c>
      <c r="H43" s="26">
        <f t="shared" si="2"/>
        <v>3</v>
      </c>
      <c r="I43" s="26">
        <f t="shared" si="2"/>
        <v>3</v>
      </c>
      <c r="J43" s="26">
        <f t="shared" si="2"/>
        <v>3</v>
      </c>
      <c r="K43" s="26">
        <f t="shared" si="2"/>
        <v>3</v>
      </c>
      <c r="L43" s="26">
        <f t="shared" si="2"/>
        <v>3</v>
      </c>
      <c r="M43" s="26">
        <f t="shared" si="2"/>
        <v>3</v>
      </c>
      <c r="N43" s="26">
        <f t="shared" si="2"/>
        <v>3</v>
      </c>
      <c r="O43" s="26">
        <f t="shared" si="2"/>
        <v>3</v>
      </c>
      <c r="P43" s="26">
        <f t="shared" si="2"/>
        <v>3</v>
      </c>
      <c r="Q43" s="26">
        <f t="shared" si="2"/>
        <v>3</v>
      </c>
      <c r="R43" s="26">
        <v>8.0</v>
      </c>
      <c r="S43" s="28">
        <f t="shared" si="3"/>
        <v>3</v>
      </c>
      <c r="T43" s="28">
        <f t="shared" si="4"/>
        <v>3</v>
      </c>
      <c r="U43" s="26">
        <v>11.0</v>
      </c>
      <c r="V43" s="26">
        <v>17.0</v>
      </c>
      <c r="W43" s="28">
        <f t="shared" si="5"/>
        <v>3</v>
      </c>
      <c r="X43" s="28">
        <f t="shared" ref="X43:Y43" si="6">X42</f>
        <v>43</v>
      </c>
      <c r="Y43" s="29">
        <f t="shared" si="6"/>
        <v>39</v>
      </c>
      <c r="Z43" s="26">
        <v>6.0</v>
      </c>
      <c r="AA43" s="26">
        <v>1.0</v>
      </c>
      <c r="AB43" s="26">
        <v>1.0</v>
      </c>
      <c r="AC43" s="26">
        <v>1.0</v>
      </c>
      <c r="AD43" s="26">
        <v>24.0</v>
      </c>
      <c r="AE43" s="26">
        <v>22.0</v>
      </c>
      <c r="AF43" s="26">
        <v>8.0</v>
      </c>
      <c r="AG43" s="26">
        <v>1.0</v>
      </c>
      <c r="AH43" s="26">
        <v>10.0</v>
      </c>
      <c r="AI43" s="26">
        <v>12.0</v>
      </c>
      <c r="AJ43" s="26">
        <v>4.0</v>
      </c>
      <c r="AK43" s="26">
        <v>12.0</v>
      </c>
      <c r="AL43" s="26">
        <v>10.0</v>
      </c>
      <c r="AM43" s="26">
        <v>13.0</v>
      </c>
      <c r="AN43" s="26">
        <v>3.0</v>
      </c>
      <c r="AO43" s="26">
        <v>14.0</v>
      </c>
      <c r="AP43" s="26">
        <v>20.0</v>
      </c>
      <c r="AQ43" s="26">
        <v>25.0</v>
      </c>
      <c r="AR43" s="26">
        <v>31.0</v>
      </c>
      <c r="AS43" s="25">
        <v>29.0</v>
      </c>
      <c r="AT43" s="26">
        <v>48.0</v>
      </c>
      <c r="AU43" s="27">
        <v>48.0</v>
      </c>
    </row>
    <row r="44">
      <c r="B44" s="24">
        <v>4.0</v>
      </c>
      <c r="C44" s="25" t="s">
        <v>21</v>
      </c>
      <c r="D44" s="25">
        <v>0.0</v>
      </c>
      <c r="E44" s="25">
        <v>0.0</v>
      </c>
      <c r="F44" s="26">
        <v>4.0</v>
      </c>
      <c r="G44" s="26">
        <f t="shared" ref="G44:L44" si="7">F44</f>
        <v>4</v>
      </c>
      <c r="H44" s="26">
        <f t="shared" si="7"/>
        <v>4</v>
      </c>
      <c r="I44" s="26">
        <f t="shared" si="7"/>
        <v>4</v>
      </c>
      <c r="J44" s="26">
        <f t="shared" si="7"/>
        <v>4</v>
      </c>
      <c r="K44" s="26">
        <f t="shared" si="7"/>
        <v>4</v>
      </c>
      <c r="L44" s="26">
        <f t="shared" si="7"/>
        <v>4</v>
      </c>
      <c r="N44" s="28">
        <f t="shared" ref="N44:Q44" si="8">F44</f>
        <v>4</v>
      </c>
      <c r="O44" s="28">
        <f t="shared" si="8"/>
        <v>4</v>
      </c>
      <c r="P44" s="28">
        <f t="shared" si="8"/>
        <v>4</v>
      </c>
      <c r="Q44" s="28">
        <f t="shared" si="8"/>
        <v>4</v>
      </c>
      <c r="R44" s="26">
        <v>8.0</v>
      </c>
      <c r="S44" s="28">
        <f t="shared" ref="S44:T44" si="9">K44</f>
        <v>4</v>
      </c>
      <c r="T44" s="28">
        <f t="shared" si="9"/>
        <v>4</v>
      </c>
      <c r="U44" s="26">
        <v>11.0</v>
      </c>
      <c r="V44" s="26">
        <v>17.0</v>
      </c>
      <c r="W44" s="28">
        <f t="shared" si="5"/>
        <v>4</v>
      </c>
      <c r="X44" s="28">
        <f t="shared" ref="X44:Y44" si="10">X42</f>
        <v>43</v>
      </c>
      <c r="Y44" s="29">
        <f t="shared" si="10"/>
        <v>39</v>
      </c>
      <c r="Z44" s="26">
        <v>5.0</v>
      </c>
      <c r="AA44" s="26">
        <v>0.0</v>
      </c>
      <c r="AB44" s="26">
        <v>1.0</v>
      </c>
      <c r="AC44" s="26">
        <v>1.0</v>
      </c>
      <c r="AD44" s="26">
        <v>4.0</v>
      </c>
      <c r="AE44" s="26">
        <v>23.0</v>
      </c>
      <c r="AF44" s="26">
        <v>9.0</v>
      </c>
      <c r="AG44" s="26">
        <v>0.0</v>
      </c>
      <c r="AH44" s="26">
        <v>11.0</v>
      </c>
      <c r="AI44" s="26">
        <v>12.0</v>
      </c>
      <c r="AJ44" s="26">
        <v>4.0</v>
      </c>
      <c r="AK44" s="26">
        <v>12.0</v>
      </c>
      <c r="AL44" s="26">
        <v>10.0</v>
      </c>
      <c r="AM44" s="26">
        <v>13.0</v>
      </c>
      <c r="AN44" s="26">
        <v>3.0</v>
      </c>
      <c r="AO44" s="26">
        <v>14.0</v>
      </c>
      <c r="AP44" s="26">
        <v>20.0</v>
      </c>
      <c r="AQ44" s="26">
        <v>25.0</v>
      </c>
      <c r="AR44" s="26">
        <v>31.0</v>
      </c>
      <c r="AS44" s="25">
        <v>29.0</v>
      </c>
      <c r="AT44" s="26">
        <v>48.0</v>
      </c>
      <c r="AU44" s="27">
        <v>48.0</v>
      </c>
    </row>
    <row r="45">
      <c r="B45" s="24">
        <v>5.0</v>
      </c>
      <c r="C45" s="25" t="s">
        <v>34</v>
      </c>
      <c r="D45" s="25">
        <v>0.0</v>
      </c>
      <c r="E45" s="25">
        <v>0.0</v>
      </c>
      <c r="F45" s="26">
        <v>5.0</v>
      </c>
      <c r="G45" s="26">
        <f t="shared" ref="G45:L45" si="11">F45</f>
        <v>5</v>
      </c>
      <c r="H45" s="26">
        <f t="shared" si="11"/>
        <v>5</v>
      </c>
      <c r="I45" s="26">
        <f t="shared" si="11"/>
        <v>5</v>
      </c>
      <c r="J45" s="26">
        <f t="shared" si="11"/>
        <v>5</v>
      </c>
      <c r="K45" s="26">
        <f t="shared" si="11"/>
        <v>5</v>
      </c>
      <c r="L45" s="26">
        <f t="shared" si="11"/>
        <v>5</v>
      </c>
      <c r="N45" s="28">
        <f t="shared" ref="N45:Q45" si="12">F45</f>
        <v>5</v>
      </c>
      <c r="O45" s="28">
        <f t="shared" si="12"/>
        <v>5</v>
      </c>
      <c r="P45" s="28">
        <f t="shared" si="12"/>
        <v>5</v>
      </c>
      <c r="Q45" s="28">
        <f t="shared" si="12"/>
        <v>5</v>
      </c>
      <c r="R45" s="26">
        <v>8.0</v>
      </c>
      <c r="S45" s="28">
        <f t="shared" ref="S45:T45" si="13">K45</f>
        <v>5</v>
      </c>
      <c r="T45" s="28">
        <f t="shared" si="13"/>
        <v>5</v>
      </c>
      <c r="U45" s="26">
        <v>11.0</v>
      </c>
      <c r="V45" s="26">
        <v>17.0</v>
      </c>
      <c r="W45" s="28">
        <f t="shared" si="5"/>
        <v>5</v>
      </c>
      <c r="X45" s="26">
        <v>44.0</v>
      </c>
      <c r="Y45" s="25">
        <v>40.0</v>
      </c>
      <c r="Z45" s="26">
        <v>5.0</v>
      </c>
      <c r="AA45" s="26">
        <v>0.0</v>
      </c>
      <c r="AB45" s="26">
        <v>1.0</v>
      </c>
      <c r="AC45" s="26">
        <v>1.0</v>
      </c>
      <c r="AD45" s="26">
        <v>4.0</v>
      </c>
      <c r="AE45" s="26">
        <v>23.0</v>
      </c>
      <c r="AF45" s="26">
        <v>9.0</v>
      </c>
      <c r="AG45" s="26">
        <v>4.0</v>
      </c>
      <c r="AH45" s="26">
        <v>11.0</v>
      </c>
      <c r="AI45" s="26">
        <v>12.0</v>
      </c>
      <c r="AJ45" s="26">
        <v>4.0</v>
      </c>
      <c r="AK45" s="26">
        <v>12.0</v>
      </c>
      <c r="AL45" s="26">
        <v>10.0</v>
      </c>
      <c r="AM45" s="26">
        <v>13.0</v>
      </c>
      <c r="AN45" s="26">
        <v>3.0</v>
      </c>
      <c r="AO45" s="26">
        <v>14.0</v>
      </c>
      <c r="AP45" s="26">
        <v>20.0</v>
      </c>
      <c r="AQ45" s="26">
        <v>25.0</v>
      </c>
      <c r="AR45" s="26">
        <v>32.0</v>
      </c>
      <c r="AS45" s="25">
        <v>29.0</v>
      </c>
      <c r="AT45" s="26">
        <v>48.0</v>
      </c>
      <c r="AU45" s="27">
        <v>48.0</v>
      </c>
    </row>
    <row r="46">
      <c r="B46" s="24">
        <v>6.0</v>
      </c>
      <c r="C46" s="25" t="s">
        <v>35</v>
      </c>
      <c r="D46" s="25">
        <v>1.0</v>
      </c>
      <c r="E46" s="25">
        <v>1.0</v>
      </c>
      <c r="F46" s="26">
        <v>6.0</v>
      </c>
      <c r="G46" s="26">
        <f t="shared" ref="G46:Q46" si="14">F46</f>
        <v>6</v>
      </c>
      <c r="H46" s="26">
        <f t="shared" si="14"/>
        <v>6</v>
      </c>
      <c r="I46" s="26">
        <f t="shared" si="14"/>
        <v>6</v>
      </c>
      <c r="J46" s="26">
        <f t="shared" si="14"/>
        <v>6</v>
      </c>
      <c r="K46" s="26">
        <f t="shared" si="14"/>
        <v>6</v>
      </c>
      <c r="L46" s="26">
        <f t="shared" si="14"/>
        <v>6</v>
      </c>
      <c r="M46" s="26">
        <f t="shared" si="14"/>
        <v>6</v>
      </c>
      <c r="N46" s="26">
        <f t="shared" si="14"/>
        <v>6</v>
      </c>
      <c r="O46" s="26">
        <f t="shared" si="14"/>
        <v>6</v>
      </c>
      <c r="P46" s="26">
        <f t="shared" si="14"/>
        <v>6</v>
      </c>
      <c r="Q46" s="26">
        <f t="shared" si="14"/>
        <v>6</v>
      </c>
      <c r="R46" s="26">
        <v>8.0</v>
      </c>
      <c r="S46" s="28">
        <f t="shared" ref="S46:T46" si="15">F46</f>
        <v>6</v>
      </c>
      <c r="T46" s="28">
        <f t="shared" si="15"/>
        <v>6</v>
      </c>
      <c r="U46" s="26">
        <v>11.0</v>
      </c>
      <c r="V46" s="26">
        <v>17.0</v>
      </c>
      <c r="W46" s="28">
        <f t="shared" si="5"/>
        <v>6</v>
      </c>
      <c r="X46" s="28">
        <f t="shared" ref="X46:Y46" si="16">X45</f>
        <v>44</v>
      </c>
      <c r="Y46" s="29">
        <f t="shared" si="16"/>
        <v>40</v>
      </c>
      <c r="Z46" s="26">
        <v>5.0</v>
      </c>
      <c r="AA46" s="26">
        <v>0.0</v>
      </c>
      <c r="AB46" s="26">
        <v>1.0</v>
      </c>
      <c r="AC46" s="26">
        <v>1.0</v>
      </c>
      <c r="AD46" s="26">
        <v>5.0</v>
      </c>
      <c r="AE46" s="26">
        <v>23.0</v>
      </c>
      <c r="AF46" s="26">
        <v>9.0</v>
      </c>
      <c r="AG46" s="26">
        <v>0.0</v>
      </c>
      <c r="AH46" s="26">
        <v>10.0</v>
      </c>
      <c r="AI46" s="26">
        <v>12.0</v>
      </c>
      <c r="AJ46" s="26">
        <v>4.0</v>
      </c>
      <c r="AK46" s="26">
        <v>12.0</v>
      </c>
      <c r="AL46" s="26">
        <v>10.0</v>
      </c>
      <c r="AM46" s="26">
        <v>13.0</v>
      </c>
      <c r="AN46" s="26">
        <v>3.0</v>
      </c>
      <c r="AO46" s="26">
        <v>14.0</v>
      </c>
      <c r="AP46" s="26">
        <v>20.0</v>
      </c>
      <c r="AQ46" s="26">
        <v>25.0</v>
      </c>
      <c r="AR46" s="26">
        <v>32.0</v>
      </c>
      <c r="AS46" s="25">
        <v>29.0</v>
      </c>
      <c r="AT46" s="26">
        <v>48.0</v>
      </c>
      <c r="AU46" s="27">
        <v>48.0</v>
      </c>
    </row>
    <row r="47">
      <c r="B47" s="24">
        <v>7.0</v>
      </c>
      <c r="C47" s="25" t="s">
        <v>36</v>
      </c>
      <c r="D47" s="25">
        <v>1.0</v>
      </c>
      <c r="E47" s="25">
        <v>1.0</v>
      </c>
      <c r="F47" s="26">
        <v>7.0</v>
      </c>
      <c r="G47" s="26">
        <f t="shared" ref="G47:T47" si="17">F47</f>
        <v>7</v>
      </c>
      <c r="H47" s="26">
        <f t="shared" si="17"/>
        <v>7</v>
      </c>
      <c r="I47" s="26">
        <f t="shared" si="17"/>
        <v>7</v>
      </c>
      <c r="J47" s="26">
        <f t="shared" si="17"/>
        <v>7</v>
      </c>
      <c r="K47" s="26">
        <f t="shared" si="17"/>
        <v>7</v>
      </c>
      <c r="L47" s="26">
        <f t="shared" si="17"/>
        <v>7</v>
      </c>
      <c r="M47" s="26">
        <f t="shared" si="17"/>
        <v>7</v>
      </c>
      <c r="N47" s="26">
        <f t="shared" si="17"/>
        <v>7</v>
      </c>
      <c r="O47" s="26">
        <f t="shared" si="17"/>
        <v>7</v>
      </c>
      <c r="P47" s="26">
        <f t="shared" si="17"/>
        <v>7</v>
      </c>
      <c r="Q47" s="26">
        <f t="shared" si="17"/>
        <v>7</v>
      </c>
      <c r="R47" s="26">
        <f t="shared" si="17"/>
        <v>7</v>
      </c>
      <c r="S47" s="26">
        <f t="shared" si="17"/>
        <v>7</v>
      </c>
      <c r="T47" s="26">
        <f t="shared" si="17"/>
        <v>7</v>
      </c>
      <c r="U47" s="26">
        <v>11.0</v>
      </c>
      <c r="V47" s="26">
        <v>17.0</v>
      </c>
      <c r="W47" s="28">
        <f t="shared" si="5"/>
        <v>7</v>
      </c>
      <c r="X47" s="28">
        <f t="shared" ref="X47:Y47" si="18">X46</f>
        <v>44</v>
      </c>
      <c r="Y47" s="29">
        <f t="shared" si="18"/>
        <v>40</v>
      </c>
      <c r="Z47" s="26">
        <v>5.0</v>
      </c>
      <c r="AA47" s="26">
        <v>7.0</v>
      </c>
      <c r="AB47" s="26">
        <v>1.0</v>
      </c>
      <c r="AC47" s="26">
        <v>1.0</v>
      </c>
      <c r="AD47" s="26">
        <v>7.0</v>
      </c>
      <c r="AE47" s="26">
        <v>23.0</v>
      </c>
      <c r="AF47" s="26">
        <v>8.0</v>
      </c>
      <c r="AG47" s="26">
        <v>1.0</v>
      </c>
      <c r="AH47" s="26">
        <v>10.0</v>
      </c>
      <c r="AI47" s="26">
        <v>12.0</v>
      </c>
      <c r="AJ47" s="26">
        <v>0.0</v>
      </c>
      <c r="AK47" s="26">
        <v>12.0</v>
      </c>
      <c r="AL47" s="26">
        <v>10.0</v>
      </c>
      <c r="AM47" s="26">
        <v>13.0</v>
      </c>
      <c r="AN47" s="26">
        <v>3.0</v>
      </c>
      <c r="AO47" s="26">
        <v>14.0</v>
      </c>
      <c r="AP47" s="26">
        <v>20.0</v>
      </c>
      <c r="AQ47" s="26">
        <v>25.0</v>
      </c>
      <c r="AR47" s="26">
        <v>32.0</v>
      </c>
      <c r="AS47" s="25">
        <v>29.0</v>
      </c>
      <c r="AT47" s="26">
        <v>48.0</v>
      </c>
      <c r="AU47" s="27">
        <v>48.0</v>
      </c>
    </row>
    <row r="48">
      <c r="B48" s="24">
        <v>8.0</v>
      </c>
      <c r="C48" s="25" t="s">
        <v>37</v>
      </c>
      <c r="D48" s="25">
        <v>1.0</v>
      </c>
      <c r="E48" s="25">
        <v>1.0</v>
      </c>
      <c r="F48" s="26">
        <v>8.0</v>
      </c>
      <c r="G48" s="26">
        <v>8.0</v>
      </c>
      <c r="H48" s="26">
        <v>8.0</v>
      </c>
      <c r="I48" s="26">
        <v>8.0</v>
      </c>
      <c r="J48" s="26">
        <v>8.0</v>
      </c>
      <c r="K48" s="26">
        <v>8.0</v>
      </c>
      <c r="L48" s="26">
        <v>8.0</v>
      </c>
      <c r="N48" s="26">
        <v>8.0</v>
      </c>
      <c r="O48" s="26">
        <v>8.0</v>
      </c>
      <c r="P48" s="26">
        <v>8.0</v>
      </c>
      <c r="Q48" s="26">
        <v>8.0</v>
      </c>
      <c r="R48" s="26">
        <v>8.0</v>
      </c>
      <c r="S48" s="26">
        <v>8.0</v>
      </c>
      <c r="T48" s="26">
        <v>8.0</v>
      </c>
      <c r="U48" s="26">
        <v>11.0</v>
      </c>
      <c r="V48" s="26">
        <v>17.0</v>
      </c>
      <c r="W48" s="26">
        <v>8.0</v>
      </c>
      <c r="X48" s="28">
        <f t="shared" ref="X48:Y48" si="19">X47</f>
        <v>44</v>
      </c>
      <c r="Y48" s="29">
        <f t="shared" si="19"/>
        <v>40</v>
      </c>
      <c r="Z48" s="26">
        <v>5.0</v>
      </c>
      <c r="AA48" s="26">
        <v>0.0</v>
      </c>
      <c r="AB48" s="26">
        <v>1.0</v>
      </c>
      <c r="AC48" s="26">
        <v>1.0</v>
      </c>
      <c r="AD48" s="26">
        <v>8.0</v>
      </c>
      <c r="AE48" s="26">
        <v>23.0</v>
      </c>
      <c r="AF48" s="26">
        <v>8.0</v>
      </c>
      <c r="AG48" s="26">
        <v>0.0</v>
      </c>
      <c r="AH48" s="26">
        <v>10.0</v>
      </c>
      <c r="AI48" s="26">
        <v>12.0</v>
      </c>
      <c r="AJ48" s="26">
        <v>4.0</v>
      </c>
      <c r="AK48" s="26">
        <v>12.0</v>
      </c>
      <c r="AL48" s="26">
        <v>10.0</v>
      </c>
      <c r="AM48" s="26">
        <v>13.0</v>
      </c>
      <c r="AN48" s="26">
        <v>3.0</v>
      </c>
      <c r="AO48" s="26">
        <v>14.0</v>
      </c>
      <c r="AP48" s="26">
        <v>20.0</v>
      </c>
      <c r="AQ48" s="26">
        <v>25.0</v>
      </c>
      <c r="AR48" s="26">
        <v>32.0</v>
      </c>
      <c r="AS48" s="25">
        <v>29.0</v>
      </c>
      <c r="AT48" s="26">
        <v>48.0</v>
      </c>
      <c r="AU48" s="27">
        <v>48.0</v>
      </c>
    </row>
    <row r="49">
      <c r="B49" s="24">
        <v>9.0</v>
      </c>
      <c r="C49" s="25" t="s">
        <v>38</v>
      </c>
      <c r="D49" s="25">
        <v>0.0</v>
      </c>
      <c r="E49" s="25">
        <v>0.0</v>
      </c>
      <c r="F49" s="26">
        <v>9.0</v>
      </c>
      <c r="G49" s="26">
        <f t="shared" ref="G49:L49" si="20">F49</f>
        <v>9</v>
      </c>
      <c r="H49" s="26">
        <f t="shared" si="20"/>
        <v>9</v>
      </c>
      <c r="I49" s="26">
        <f t="shared" si="20"/>
        <v>9</v>
      </c>
      <c r="J49" s="26">
        <f t="shared" si="20"/>
        <v>9</v>
      </c>
      <c r="K49" s="26">
        <f t="shared" si="20"/>
        <v>9</v>
      </c>
      <c r="L49" s="26">
        <f t="shared" si="20"/>
        <v>9</v>
      </c>
      <c r="N49" s="26">
        <f t="shared" ref="N49:T49" si="21">F49</f>
        <v>9</v>
      </c>
      <c r="O49" s="26">
        <f t="shared" si="21"/>
        <v>9</v>
      </c>
      <c r="P49" s="26">
        <f t="shared" si="21"/>
        <v>9</v>
      </c>
      <c r="Q49" s="26">
        <f t="shared" si="21"/>
        <v>9</v>
      </c>
      <c r="R49" s="26">
        <f t="shared" si="21"/>
        <v>9</v>
      </c>
      <c r="S49" s="26">
        <f t="shared" si="21"/>
        <v>9</v>
      </c>
      <c r="T49" s="26">
        <f t="shared" si="21"/>
        <v>9</v>
      </c>
      <c r="U49" s="26">
        <v>11.0</v>
      </c>
      <c r="V49" s="26">
        <v>17.0</v>
      </c>
      <c r="W49" s="28">
        <f t="shared" ref="W49:W50" si="23">F49</f>
        <v>9</v>
      </c>
      <c r="X49" s="26">
        <v>45.0</v>
      </c>
      <c r="Y49" s="25">
        <v>41.0</v>
      </c>
      <c r="Z49" s="26">
        <v>5.0</v>
      </c>
      <c r="AA49" s="26">
        <v>3.0</v>
      </c>
      <c r="AB49" s="26">
        <v>1.0</v>
      </c>
      <c r="AC49" s="26">
        <v>1.0</v>
      </c>
      <c r="AD49" s="26">
        <v>3.0</v>
      </c>
      <c r="AE49" s="26">
        <v>23.0</v>
      </c>
      <c r="AF49" s="26">
        <v>9.0</v>
      </c>
      <c r="AG49" s="26">
        <v>0.0</v>
      </c>
      <c r="AH49" s="26">
        <v>11.0</v>
      </c>
      <c r="AI49" s="26">
        <v>12.0</v>
      </c>
      <c r="AJ49" s="26">
        <v>4.0</v>
      </c>
      <c r="AK49" s="26">
        <v>12.0</v>
      </c>
      <c r="AL49" s="26">
        <v>11.0</v>
      </c>
      <c r="AM49" s="26">
        <v>13.0</v>
      </c>
      <c r="AN49" s="26">
        <v>3.0</v>
      </c>
      <c r="AO49" s="26">
        <v>14.0</v>
      </c>
      <c r="AP49" s="26">
        <v>20.0</v>
      </c>
      <c r="AQ49" s="26">
        <v>25.0</v>
      </c>
      <c r="AR49" s="26">
        <v>33.0</v>
      </c>
      <c r="AS49" s="25">
        <v>29.0</v>
      </c>
      <c r="AT49" s="26">
        <v>48.0</v>
      </c>
      <c r="AU49" s="27">
        <v>48.0</v>
      </c>
    </row>
    <row r="50">
      <c r="B50" s="24">
        <v>10.0</v>
      </c>
      <c r="C50" s="25" t="s">
        <v>19</v>
      </c>
      <c r="D50" s="25">
        <v>1.0</v>
      </c>
      <c r="E50" s="25">
        <v>0.0</v>
      </c>
      <c r="F50" s="26">
        <v>10.0</v>
      </c>
      <c r="G50" s="26">
        <f t="shared" ref="G50:T50" si="22">F50</f>
        <v>10</v>
      </c>
      <c r="H50" s="26">
        <f t="shared" si="22"/>
        <v>10</v>
      </c>
      <c r="I50" s="26">
        <f t="shared" si="22"/>
        <v>10</v>
      </c>
      <c r="J50" s="26">
        <f t="shared" si="22"/>
        <v>10</v>
      </c>
      <c r="K50" s="26">
        <f t="shared" si="22"/>
        <v>10</v>
      </c>
      <c r="L50" s="26">
        <f t="shared" si="22"/>
        <v>10</v>
      </c>
      <c r="M50" s="26">
        <f t="shared" si="22"/>
        <v>10</v>
      </c>
      <c r="N50" s="26">
        <f t="shared" si="22"/>
        <v>10</v>
      </c>
      <c r="O50" s="26">
        <f t="shared" si="22"/>
        <v>10</v>
      </c>
      <c r="P50" s="26">
        <f t="shared" si="22"/>
        <v>10</v>
      </c>
      <c r="Q50" s="26">
        <f t="shared" si="22"/>
        <v>10</v>
      </c>
      <c r="R50" s="26">
        <f t="shared" si="22"/>
        <v>10</v>
      </c>
      <c r="S50" s="26">
        <f t="shared" si="22"/>
        <v>10</v>
      </c>
      <c r="T50" s="26">
        <f t="shared" si="22"/>
        <v>10</v>
      </c>
      <c r="U50" s="26">
        <v>11.0</v>
      </c>
      <c r="V50" s="26">
        <v>17.0</v>
      </c>
      <c r="W50" s="28">
        <f t="shared" si="23"/>
        <v>10</v>
      </c>
      <c r="X50" s="28">
        <f t="shared" ref="X50:Y50" si="24">X49</f>
        <v>45</v>
      </c>
      <c r="Y50" s="29">
        <f t="shared" si="24"/>
        <v>41</v>
      </c>
      <c r="Z50" s="26">
        <v>5.0</v>
      </c>
      <c r="AA50" s="26">
        <v>24.0</v>
      </c>
      <c r="AB50" s="26">
        <v>1.0</v>
      </c>
      <c r="AC50" s="26">
        <v>1.0</v>
      </c>
      <c r="AD50" s="26">
        <v>0.0</v>
      </c>
      <c r="AE50" s="26">
        <v>23.0</v>
      </c>
      <c r="AF50" s="26">
        <v>8.0</v>
      </c>
      <c r="AG50" s="26">
        <v>0.0</v>
      </c>
      <c r="AH50" s="26">
        <v>10.0</v>
      </c>
      <c r="AI50" s="26">
        <v>12.0</v>
      </c>
      <c r="AJ50" s="26">
        <v>4.0</v>
      </c>
      <c r="AK50" s="26">
        <v>12.0</v>
      </c>
      <c r="AL50" s="26">
        <v>10.0</v>
      </c>
      <c r="AM50" s="26">
        <v>13.0</v>
      </c>
      <c r="AN50" s="26">
        <v>3.0</v>
      </c>
      <c r="AO50" s="26">
        <v>14.0</v>
      </c>
      <c r="AP50" s="26">
        <v>20.0</v>
      </c>
      <c r="AQ50" s="26">
        <v>25.0</v>
      </c>
      <c r="AR50" s="26">
        <v>33.0</v>
      </c>
      <c r="AS50" s="25">
        <v>29.0</v>
      </c>
      <c r="AT50" s="26">
        <v>48.0</v>
      </c>
      <c r="AU50" s="27">
        <v>48.0</v>
      </c>
    </row>
    <row r="51">
      <c r="B51" s="24">
        <v>11.0</v>
      </c>
      <c r="C51" s="25" t="s">
        <v>39</v>
      </c>
      <c r="D51" s="25">
        <v>0.0</v>
      </c>
      <c r="E51" s="25">
        <v>0.0</v>
      </c>
      <c r="F51" s="26">
        <v>12.0</v>
      </c>
      <c r="G51" s="26">
        <f t="shared" ref="G51:W51" si="25">F51</f>
        <v>12</v>
      </c>
      <c r="H51" s="26">
        <f t="shared" si="25"/>
        <v>12</v>
      </c>
      <c r="I51" s="26">
        <f t="shared" si="25"/>
        <v>12</v>
      </c>
      <c r="J51" s="26">
        <f t="shared" si="25"/>
        <v>12</v>
      </c>
      <c r="K51" s="26">
        <f t="shared" si="25"/>
        <v>12</v>
      </c>
      <c r="L51" s="26">
        <f t="shared" si="25"/>
        <v>12</v>
      </c>
      <c r="M51" s="26">
        <f t="shared" si="25"/>
        <v>12</v>
      </c>
      <c r="N51" s="26">
        <f t="shared" si="25"/>
        <v>12</v>
      </c>
      <c r="O51" s="26">
        <f t="shared" si="25"/>
        <v>12</v>
      </c>
      <c r="P51" s="26">
        <f t="shared" si="25"/>
        <v>12</v>
      </c>
      <c r="Q51" s="26">
        <f t="shared" si="25"/>
        <v>12</v>
      </c>
      <c r="R51" s="26">
        <f t="shared" si="25"/>
        <v>12</v>
      </c>
      <c r="S51" s="26">
        <f t="shared" si="25"/>
        <v>12</v>
      </c>
      <c r="T51" s="26">
        <f t="shared" si="25"/>
        <v>12</v>
      </c>
      <c r="U51" s="26">
        <f t="shared" si="25"/>
        <v>12</v>
      </c>
      <c r="V51" s="26">
        <f t="shared" si="25"/>
        <v>12</v>
      </c>
      <c r="W51" s="26">
        <f t="shared" si="25"/>
        <v>12</v>
      </c>
      <c r="X51" s="28">
        <f t="shared" ref="X51:Y51" si="26">X50</f>
        <v>45</v>
      </c>
      <c r="Y51" s="29">
        <f t="shared" si="26"/>
        <v>41</v>
      </c>
      <c r="Z51" s="26">
        <v>15.0</v>
      </c>
      <c r="AA51" s="26">
        <v>15.0</v>
      </c>
      <c r="AB51" s="26">
        <v>15.0</v>
      </c>
      <c r="AC51" s="26">
        <v>15.0</v>
      </c>
      <c r="AD51" s="26">
        <v>15.0</v>
      </c>
      <c r="AE51" s="26">
        <v>15.0</v>
      </c>
      <c r="AF51" s="26">
        <v>15.0</v>
      </c>
      <c r="AG51" s="26">
        <v>15.0</v>
      </c>
      <c r="AH51" s="26">
        <v>15.0</v>
      </c>
      <c r="AI51" s="26">
        <v>15.0</v>
      </c>
      <c r="AJ51" s="26">
        <v>15.0</v>
      </c>
      <c r="AK51" s="26">
        <v>15.0</v>
      </c>
      <c r="AL51" s="26">
        <v>15.0</v>
      </c>
      <c r="AM51" s="26">
        <v>15.0</v>
      </c>
      <c r="AN51" s="26">
        <v>15.0</v>
      </c>
      <c r="AO51" s="26">
        <v>15.0</v>
      </c>
      <c r="AP51" s="26">
        <v>15.0</v>
      </c>
      <c r="AQ51" s="26">
        <v>15.0</v>
      </c>
      <c r="AR51" s="26">
        <v>33.0</v>
      </c>
      <c r="AS51" s="25">
        <v>29.0</v>
      </c>
      <c r="AT51" s="26">
        <v>48.0</v>
      </c>
      <c r="AU51" s="27">
        <v>48.0</v>
      </c>
    </row>
    <row r="52">
      <c r="B52" s="24">
        <v>12.0</v>
      </c>
      <c r="C52" s="25" t="s">
        <v>40</v>
      </c>
      <c r="D52" s="25">
        <v>0.0</v>
      </c>
      <c r="E52" s="25">
        <v>0.0</v>
      </c>
      <c r="F52" s="26">
        <v>13.0</v>
      </c>
      <c r="G52" s="26">
        <f t="shared" ref="G52:W52" si="27">F52</f>
        <v>13</v>
      </c>
      <c r="H52" s="26">
        <f t="shared" si="27"/>
        <v>13</v>
      </c>
      <c r="I52" s="26">
        <f t="shared" si="27"/>
        <v>13</v>
      </c>
      <c r="J52" s="26">
        <f t="shared" si="27"/>
        <v>13</v>
      </c>
      <c r="K52" s="26">
        <f t="shared" si="27"/>
        <v>13</v>
      </c>
      <c r="L52" s="26">
        <f t="shared" si="27"/>
        <v>13</v>
      </c>
      <c r="M52" s="26">
        <f t="shared" si="27"/>
        <v>13</v>
      </c>
      <c r="N52" s="26">
        <f t="shared" si="27"/>
        <v>13</v>
      </c>
      <c r="O52" s="26">
        <f t="shared" si="27"/>
        <v>13</v>
      </c>
      <c r="P52" s="26">
        <f t="shared" si="27"/>
        <v>13</v>
      </c>
      <c r="Q52" s="26">
        <f t="shared" si="27"/>
        <v>13</v>
      </c>
      <c r="R52" s="26">
        <f t="shared" si="27"/>
        <v>13</v>
      </c>
      <c r="S52" s="26">
        <f t="shared" si="27"/>
        <v>13</v>
      </c>
      <c r="T52" s="26">
        <f t="shared" si="27"/>
        <v>13</v>
      </c>
      <c r="U52" s="26">
        <f t="shared" si="27"/>
        <v>13</v>
      </c>
      <c r="V52" s="26">
        <f t="shared" si="27"/>
        <v>13</v>
      </c>
      <c r="W52" s="26">
        <f t="shared" si="27"/>
        <v>13</v>
      </c>
      <c r="X52" s="28">
        <f t="shared" ref="X52:Y52" si="28">X51</f>
        <v>45</v>
      </c>
      <c r="Y52" s="29">
        <f t="shared" si="28"/>
        <v>41</v>
      </c>
      <c r="Z52" s="26">
        <v>16.0</v>
      </c>
      <c r="AA52" s="26">
        <v>16.0</v>
      </c>
      <c r="AB52" s="26">
        <v>16.0</v>
      </c>
      <c r="AC52" s="26">
        <v>16.0</v>
      </c>
      <c r="AD52" s="26">
        <v>16.0</v>
      </c>
      <c r="AE52" s="26">
        <v>16.0</v>
      </c>
      <c r="AF52" s="26">
        <v>16.0</v>
      </c>
      <c r="AG52" s="26">
        <v>16.0</v>
      </c>
      <c r="AH52" s="26">
        <v>16.0</v>
      </c>
      <c r="AI52" s="26">
        <v>16.0</v>
      </c>
      <c r="AJ52" s="26">
        <v>16.0</v>
      </c>
      <c r="AK52" s="26">
        <v>16.0</v>
      </c>
      <c r="AL52" s="26">
        <v>16.0</v>
      </c>
      <c r="AM52" s="26">
        <v>16.0</v>
      </c>
      <c r="AN52" s="26">
        <v>16.0</v>
      </c>
      <c r="AO52" s="26">
        <v>16.0</v>
      </c>
      <c r="AP52" s="26">
        <v>16.0</v>
      </c>
      <c r="AQ52" s="26">
        <v>16.0</v>
      </c>
      <c r="AR52" s="26">
        <v>33.0</v>
      </c>
      <c r="AS52" s="25">
        <v>29.0</v>
      </c>
      <c r="AT52" s="26">
        <v>48.0</v>
      </c>
      <c r="AU52" s="27">
        <v>48.0</v>
      </c>
    </row>
    <row r="53">
      <c r="B53" s="24">
        <v>13.0</v>
      </c>
      <c r="C53" s="25" t="s">
        <v>41</v>
      </c>
      <c r="D53" s="25">
        <v>0.0</v>
      </c>
      <c r="E53" s="25">
        <v>0.0</v>
      </c>
      <c r="F53" s="26">
        <v>14.0</v>
      </c>
      <c r="G53" s="26">
        <f t="shared" ref="G53:W53" si="29">F53</f>
        <v>14</v>
      </c>
      <c r="H53" s="26">
        <f t="shared" si="29"/>
        <v>14</v>
      </c>
      <c r="I53" s="26">
        <f t="shared" si="29"/>
        <v>14</v>
      </c>
      <c r="J53" s="26">
        <f t="shared" si="29"/>
        <v>14</v>
      </c>
      <c r="K53" s="26">
        <f t="shared" si="29"/>
        <v>14</v>
      </c>
      <c r="L53" s="26">
        <f t="shared" si="29"/>
        <v>14</v>
      </c>
      <c r="M53" s="26">
        <f t="shared" si="29"/>
        <v>14</v>
      </c>
      <c r="N53" s="26">
        <f t="shared" si="29"/>
        <v>14</v>
      </c>
      <c r="O53" s="26">
        <f t="shared" si="29"/>
        <v>14</v>
      </c>
      <c r="P53" s="26">
        <f t="shared" si="29"/>
        <v>14</v>
      </c>
      <c r="Q53" s="26">
        <f t="shared" si="29"/>
        <v>14</v>
      </c>
      <c r="R53" s="26">
        <f t="shared" si="29"/>
        <v>14</v>
      </c>
      <c r="S53" s="26">
        <f t="shared" si="29"/>
        <v>14</v>
      </c>
      <c r="T53" s="26">
        <f t="shared" si="29"/>
        <v>14</v>
      </c>
      <c r="U53" s="26">
        <f t="shared" si="29"/>
        <v>14</v>
      </c>
      <c r="V53" s="26">
        <f t="shared" si="29"/>
        <v>14</v>
      </c>
      <c r="W53" s="26">
        <f t="shared" si="29"/>
        <v>14</v>
      </c>
      <c r="X53" s="28">
        <f t="shared" ref="X53:Y53" si="30">X52</f>
        <v>45</v>
      </c>
      <c r="Y53" s="29">
        <f t="shared" si="30"/>
        <v>41</v>
      </c>
      <c r="Z53" s="26">
        <v>17.0</v>
      </c>
      <c r="AA53" s="26">
        <v>17.0</v>
      </c>
      <c r="AB53" s="26">
        <v>17.0</v>
      </c>
      <c r="AC53" s="26">
        <v>17.0</v>
      </c>
      <c r="AD53" s="26">
        <v>17.0</v>
      </c>
      <c r="AE53" s="26">
        <v>17.0</v>
      </c>
      <c r="AF53" s="26">
        <v>17.0</v>
      </c>
      <c r="AG53" s="26">
        <v>17.0</v>
      </c>
      <c r="AH53" s="26">
        <v>17.0</v>
      </c>
      <c r="AI53" s="26">
        <v>17.0</v>
      </c>
      <c r="AJ53" s="26">
        <v>17.0</v>
      </c>
      <c r="AK53" s="26">
        <v>17.0</v>
      </c>
      <c r="AL53" s="26">
        <v>17.0</v>
      </c>
      <c r="AM53" s="26">
        <v>17.0</v>
      </c>
      <c r="AN53" s="26">
        <v>17.0</v>
      </c>
      <c r="AO53" s="26">
        <v>17.0</v>
      </c>
      <c r="AP53" s="26">
        <v>17.0</v>
      </c>
      <c r="AQ53" s="26">
        <v>17.0</v>
      </c>
      <c r="AR53" s="26">
        <v>33.0</v>
      </c>
      <c r="AS53" s="25">
        <v>29.0</v>
      </c>
      <c r="AT53" s="26">
        <v>48.0</v>
      </c>
      <c r="AU53" s="27">
        <v>48.0</v>
      </c>
    </row>
    <row r="54">
      <c r="B54" s="24">
        <v>14.0</v>
      </c>
      <c r="C54" s="25" t="s">
        <v>42</v>
      </c>
      <c r="D54" s="25">
        <v>0.0</v>
      </c>
      <c r="E54" s="25">
        <v>0.0</v>
      </c>
      <c r="F54" s="26">
        <v>15.0</v>
      </c>
      <c r="G54" s="26">
        <f t="shared" ref="G54:W54" si="31">F54</f>
        <v>15</v>
      </c>
      <c r="H54" s="26">
        <f t="shared" si="31"/>
        <v>15</v>
      </c>
      <c r="I54" s="26">
        <f t="shared" si="31"/>
        <v>15</v>
      </c>
      <c r="J54" s="26">
        <f t="shared" si="31"/>
        <v>15</v>
      </c>
      <c r="K54" s="26">
        <f t="shared" si="31"/>
        <v>15</v>
      </c>
      <c r="L54" s="26">
        <f t="shared" si="31"/>
        <v>15</v>
      </c>
      <c r="M54" s="26">
        <f t="shared" si="31"/>
        <v>15</v>
      </c>
      <c r="N54" s="26">
        <f t="shared" si="31"/>
        <v>15</v>
      </c>
      <c r="O54" s="26">
        <f t="shared" si="31"/>
        <v>15</v>
      </c>
      <c r="P54" s="26">
        <f t="shared" si="31"/>
        <v>15</v>
      </c>
      <c r="Q54" s="26">
        <f t="shared" si="31"/>
        <v>15</v>
      </c>
      <c r="R54" s="26">
        <f t="shared" si="31"/>
        <v>15</v>
      </c>
      <c r="S54" s="26">
        <f t="shared" si="31"/>
        <v>15</v>
      </c>
      <c r="T54" s="26">
        <f t="shared" si="31"/>
        <v>15</v>
      </c>
      <c r="U54" s="26">
        <f t="shared" si="31"/>
        <v>15</v>
      </c>
      <c r="V54" s="26">
        <f t="shared" si="31"/>
        <v>15</v>
      </c>
      <c r="W54" s="26">
        <f t="shared" si="31"/>
        <v>15</v>
      </c>
      <c r="X54" s="28">
        <f t="shared" ref="X54:Y54" si="32">X53</f>
        <v>45</v>
      </c>
      <c r="Y54" s="29">
        <f t="shared" si="32"/>
        <v>41</v>
      </c>
      <c r="Z54" s="26">
        <v>18.0</v>
      </c>
      <c r="AA54" s="26">
        <v>18.0</v>
      </c>
      <c r="AB54" s="26">
        <v>18.0</v>
      </c>
      <c r="AC54" s="26">
        <v>18.0</v>
      </c>
      <c r="AD54" s="26">
        <v>18.0</v>
      </c>
      <c r="AE54" s="26">
        <v>18.0</v>
      </c>
      <c r="AF54" s="26">
        <v>18.0</v>
      </c>
      <c r="AG54" s="26">
        <v>18.0</v>
      </c>
      <c r="AH54" s="26">
        <v>18.0</v>
      </c>
      <c r="AI54" s="26">
        <v>18.0</v>
      </c>
      <c r="AJ54" s="26">
        <v>18.0</v>
      </c>
      <c r="AK54" s="26">
        <v>18.0</v>
      </c>
      <c r="AL54" s="26">
        <v>18.0</v>
      </c>
      <c r="AM54" s="26">
        <v>18.0</v>
      </c>
      <c r="AN54" s="26">
        <v>18.0</v>
      </c>
      <c r="AO54" s="26">
        <v>18.0</v>
      </c>
      <c r="AP54" s="26">
        <v>18.0</v>
      </c>
      <c r="AQ54" s="26">
        <v>18.0</v>
      </c>
      <c r="AR54" s="26">
        <v>33.0</v>
      </c>
      <c r="AS54" s="25">
        <v>29.0</v>
      </c>
      <c r="AT54" s="26">
        <v>48.0</v>
      </c>
      <c r="AU54" s="27">
        <v>48.0</v>
      </c>
    </row>
    <row r="55">
      <c r="B55" s="24">
        <v>15.0</v>
      </c>
      <c r="C55" s="25" t="s">
        <v>43</v>
      </c>
      <c r="D55" s="25">
        <v>0.0</v>
      </c>
      <c r="E55" s="25">
        <v>0.0</v>
      </c>
      <c r="F55" s="26">
        <v>16.0</v>
      </c>
      <c r="G55" s="26">
        <f t="shared" ref="G55:W55" si="33">F55</f>
        <v>16</v>
      </c>
      <c r="H55" s="26">
        <f t="shared" si="33"/>
        <v>16</v>
      </c>
      <c r="I55" s="26">
        <f t="shared" si="33"/>
        <v>16</v>
      </c>
      <c r="J55" s="26">
        <f t="shared" si="33"/>
        <v>16</v>
      </c>
      <c r="K55" s="26">
        <f t="shared" si="33"/>
        <v>16</v>
      </c>
      <c r="L55" s="26">
        <f t="shared" si="33"/>
        <v>16</v>
      </c>
      <c r="M55" s="26">
        <f t="shared" si="33"/>
        <v>16</v>
      </c>
      <c r="N55" s="26">
        <f t="shared" si="33"/>
        <v>16</v>
      </c>
      <c r="O55" s="26">
        <f t="shared" si="33"/>
        <v>16</v>
      </c>
      <c r="P55" s="26">
        <f t="shared" si="33"/>
        <v>16</v>
      </c>
      <c r="Q55" s="26">
        <f t="shared" si="33"/>
        <v>16</v>
      </c>
      <c r="R55" s="26">
        <f t="shared" si="33"/>
        <v>16</v>
      </c>
      <c r="S55" s="26">
        <f t="shared" si="33"/>
        <v>16</v>
      </c>
      <c r="T55" s="26">
        <f t="shared" si="33"/>
        <v>16</v>
      </c>
      <c r="U55" s="26">
        <f t="shared" si="33"/>
        <v>16</v>
      </c>
      <c r="V55" s="26">
        <f t="shared" si="33"/>
        <v>16</v>
      </c>
      <c r="W55" s="26">
        <f t="shared" si="33"/>
        <v>16</v>
      </c>
      <c r="X55" s="28">
        <f t="shared" ref="X55:Y55" si="34">X54</f>
        <v>45</v>
      </c>
      <c r="Y55" s="29">
        <f t="shared" si="34"/>
        <v>41</v>
      </c>
      <c r="Z55" s="26">
        <v>19.0</v>
      </c>
      <c r="AA55" s="26">
        <v>19.0</v>
      </c>
      <c r="AB55" s="26">
        <v>19.0</v>
      </c>
      <c r="AC55" s="26">
        <v>19.0</v>
      </c>
      <c r="AD55" s="26">
        <v>19.0</v>
      </c>
      <c r="AE55" s="26">
        <v>19.0</v>
      </c>
      <c r="AF55" s="26">
        <v>19.0</v>
      </c>
      <c r="AG55" s="26">
        <v>19.0</v>
      </c>
      <c r="AH55" s="26">
        <v>19.0</v>
      </c>
      <c r="AI55" s="26">
        <v>19.0</v>
      </c>
      <c r="AJ55" s="26">
        <v>19.0</v>
      </c>
      <c r="AK55" s="26">
        <v>19.0</v>
      </c>
      <c r="AL55" s="26">
        <v>19.0</v>
      </c>
      <c r="AM55" s="26">
        <v>19.0</v>
      </c>
      <c r="AN55" s="26">
        <v>19.0</v>
      </c>
      <c r="AO55" s="26">
        <v>19.0</v>
      </c>
      <c r="AP55" s="26">
        <v>19.0</v>
      </c>
      <c r="AQ55" s="26">
        <v>19.0</v>
      </c>
      <c r="AR55" s="26">
        <v>33.0</v>
      </c>
      <c r="AS55" s="25">
        <v>29.0</v>
      </c>
      <c r="AT55" s="26">
        <v>48.0</v>
      </c>
      <c r="AU55" s="27">
        <v>48.0</v>
      </c>
    </row>
    <row r="56">
      <c r="B56" s="24">
        <v>16.0</v>
      </c>
      <c r="C56" s="25" t="s">
        <v>44</v>
      </c>
      <c r="D56" s="25">
        <v>0.0</v>
      </c>
      <c r="E56" s="25">
        <v>0.0</v>
      </c>
      <c r="F56" s="26">
        <v>18.0</v>
      </c>
      <c r="G56" s="26">
        <f t="shared" ref="G56:W56" si="35">F56</f>
        <v>18</v>
      </c>
      <c r="H56" s="26">
        <f t="shared" si="35"/>
        <v>18</v>
      </c>
      <c r="I56" s="26">
        <f t="shared" si="35"/>
        <v>18</v>
      </c>
      <c r="J56" s="26">
        <f t="shared" si="35"/>
        <v>18</v>
      </c>
      <c r="K56" s="26">
        <f t="shared" si="35"/>
        <v>18</v>
      </c>
      <c r="L56" s="26">
        <f t="shared" si="35"/>
        <v>18</v>
      </c>
      <c r="M56" s="26">
        <f t="shared" si="35"/>
        <v>18</v>
      </c>
      <c r="N56" s="26">
        <f t="shared" si="35"/>
        <v>18</v>
      </c>
      <c r="O56" s="26">
        <f t="shared" si="35"/>
        <v>18</v>
      </c>
      <c r="P56" s="26">
        <f t="shared" si="35"/>
        <v>18</v>
      </c>
      <c r="Q56" s="26">
        <f t="shared" si="35"/>
        <v>18</v>
      </c>
      <c r="R56" s="26">
        <f t="shared" si="35"/>
        <v>18</v>
      </c>
      <c r="S56" s="26">
        <f t="shared" si="35"/>
        <v>18</v>
      </c>
      <c r="T56" s="26">
        <f t="shared" si="35"/>
        <v>18</v>
      </c>
      <c r="U56" s="26">
        <f t="shared" si="35"/>
        <v>18</v>
      </c>
      <c r="V56" s="26">
        <f t="shared" si="35"/>
        <v>18</v>
      </c>
      <c r="W56" s="26">
        <f t="shared" si="35"/>
        <v>18</v>
      </c>
      <c r="X56" s="28">
        <f t="shared" ref="X56:Y56" si="36">X55</f>
        <v>45</v>
      </c>
      <c r="Y56" s="29">
        <f t="shared" si="36"/>
        <v>41</v>
      </c>
      <c r="Z56" s="26">
        <v>21.0</v>
      </c>
      <c r="AA56" s="26">
        <v>21.0</v>
      </c>
      <c r="AB56" s="26">
        <v>21.0</v>
      </c>
      <c r="AC56" s="26">
        <v>21.0</v>
      </c>
      <c r="AD56" s="26">
        <v>21.0</v>
      </c>
      <c r="AE56" s="26">
        <v>21.0</v>
      </c>
      <c r="AF56" s="26">
        <v>21.0</v>
      </c>
      <c r="AG56" s="26">
        <v>21.0</v>
      </c>
      <c r="AH56" s="26">
        <v>21.0</v>
      </c>
      <c r="AI56" s="26">
        <v>21.0</v>
      </c>
      <c r="AJ56" s="26">
        <v>21.0</v>
      </c>
      <c r="AK56" s="26">
        <v>21.0</v>
      </c>
      <c r="AL56" s="26">
        <v>21.0</v>
      </c>
      <c r="AM56" s="26">
        <v>21.0</v>
      </c>
      <c r="AN56" s="26">
        <v>21.0</v>
      </c>
      <c r="AO56" s="26">
        <v>21.0</v>
      </c>
      <c r="AP56" s="26">
        <v>21.0</v>
      </c>
      <c r="AQ56" s="26">
        <v>21.0</v>
      </c>
      <c r="AR56" s="26">
        <v>33.0</v>
      </c>
      <c r="AS56" s="25">
        <v>29.0</v>
      </c>
      <c r="AT56" s="26">
        <v>48.0</v>
      </c>
      <c r="AU56" s="27">
        <v>48.0</v>
      </c>
    </row>
    <row r="57">
      <c r="B57" s="24">
        <v>17.0</v>
      </c>
      <c r="C57" s="25" t="s">
        <v>45</v>
      </c>
      <c r="D57" s="25">
        <v>0.0</v>
      </c>
      <c r="E57" s="25">
        <v>0.0</v>
      </c>
      <c r="F57" s="26">
        <v>16.0</v>
      </c>
      <c r="G57" s="28">
        <f t="shared" ref="G57:W57" si="37">F57</f>
        <v>16</v>
      </c>
      <c r="H57" s="28">
        <f t="shared" si="37"/>
        <v>16</v>
      </c>
      <c r="I57" s="28">
        <f t="shared" si="37"/>
        <v>16</v>
      </c>
      <c r="J57" s="28">
        <f t="shared" si="37"/>
        <v>16</v>
      </c>
      <c r="K57" s="28">
        <f t="shared" si="37"/>
        <v>16</v>
      </c>
      <c r="L57" s="28">
        <f t="shared" si="37"/>
        <v>16</v>
      </c>
      <c r="M57" s="28">
        <f t="shared" si="37"/>
        <v>16</v>
      </c>
      <c r="N57" s="28">
        <f t="shared" si="37"/>
        <v>16</v>
      </c>
      <c r="O57" s="28">
        <f t="shared" si="37"/>
        <v>16</v>
      </c>
      <c r="P57" s="28">
        <f t="shared" si="37"/>
        <v>16</v>
      </c>
      <c r="Q57" s="28">
        <f t="shared" si="37"/>
        <v>16</v>
      </c>
      <c r="R57" s="28">
        <f t="shared" si="37"/>
        <v>16</v>
      </c>
      <c r="S57" s="28">
        <f t="shared" si="37"/>
        <v>16</v>
      </c>
      <c r="T57" s="28">
        <f t="shared" si="37"/>
        <v>16</v>
      </c>
      <c r="U57" s="28">
        <f t="shared" si="37"/>
        <v>16</v>
      </c>
      <c r="V57" s="28">
        <f t="shared" si="37"/>
        <v>16</v>
      </c>
      <c r="W57" s="28">
        <f t="shared" si="37"/>
        <v>16</v>
      </c>
      <c r="X57" s="28">
        <f t="shared" ref="X57:Y57" si="38">X56</f>
        <v>45</v>
      </c>
      <c r="Y57" s="29">
        <f t="shared" si="38"/>
        <v>41</v>
      </c>
      <c r="Z57" s="26">
        <v>21.0</v>
      </c>
      <c r="AA57" s="26">
        <v>21.0</v>
      </c>
      <c r="AB57" s="26">
        <v>21.0</v>
      </c>
      <c r="AC57" s="26">
        <v>21.0</v>
      </c>
      <c r="AD57" s="26">
        <v>21.0</v>
      </c>
      <c r="AE57" s="26">
        <v>21.0</v>
      </c>
      <c r="AF57" s="26">
        <v>21.0</v>
      </c>
      <c r="AG57" s="26">
        <v>21.0</v>
      </c>
      <c r="AH57" s="26">
        <v>21.0</v>
      </c>
      <c r="AI57" s="26">
        <v>21.0</v>
      </c>
      <c r="AJ57" s="26">
        <v>21.0</v>
      </c>
      <c r="AK57" s="26">
        <v>21.0</v>
      </c>
      <c r="AL57" s="26">
        <v>21.0</v>
      </c>
      <c r="AM57" s="26">
        <v>21.0</v>
      </c>
      <c r="AN57" s="26">
        <v>21.0</v>
      </c>
      <c r="AO57" s="26">
        <v>21.0</v>
      </c>
      <c r="AP57" s="26">
        <v>21.0</v>
      </c>
      <c r="AQ57" s="26">
        <v>21.0</v>
      </c>
      <c r="AR57" s="26">
        <v>33.0</v>
      </c>
      <c r="AS57" s="25">
        <v>29.0</v>
      </c>
      <c r="AT57" s="26">
        <v>48.0</v>
      </c>
      <c r="AU57" s="27">
        <v>48.0</v>
      </c>
    </row>
    <row r="58">
      <c r="B58" s="24">
        <v>18.0</v>
      </c>
      <c r="C58" s="25" t="s">
        <v>46</v>
      </c>
      <c r="D58" s="25">
        <v>0.0</v>
      </c>
      <c r="E58" s="25">
        <v>0.0</v>
      </c>
      <c r="F58" s="26">
        <v>19.0</v>
      </c>
      <c r="G58" s="26">
        <f t="shared" ref="G58:W58" si="39">F58</f>
        <v>19</v>
      </c>
      <c r="H58" s="26">
        <f t="shared" si="39"/>
        <v>19</v>
      </c>
      <c r="I58" s="26">
        <f t="shared" si="39"/>
        <v>19</v>
      </c>
      <c r="J58" s="26">
        <f t="shared" si="39"/>
        <v>19</v>
      </c>
      <c r="K58" s="26">
        <f t="shared" si="39"/>
        <v>19</v>
      </c>
      <c r="L58" s="26">
        <f t="shared" si="39"/>
        <v>19</v>
      </c>
      <c r="M58" s="26">
        <f t="shared" si="39"/>
        <v>19</v>
      </c>
      <c r="N58" s="26">
        <f t="shared" si="39"/>
        <v>19</v>
      </c>
      <c r="O58" s="26">
        <f t="shared" si="39"/>
        <v>19</v>
      </c>
      <c r="P58" s="26">
        <f t="shared" si="39"/>
        <v>19</v>
      </c>
      <c r="Q58" s="26">
        <f t="shared" si="39"/>
        <v>19</v>
      </c>
      <c r="R58" s="26">
        <f t="shared" si="39"/>
        <v>19</v>
      </c>
      <c r="S58" s="26">
        <f t="shared" si="39"/>
        <v>19</v>
      </c>
      <c r="T58" s="26">
        <f t="shared" si="39"/>
        <v>19</v>
      </c>
      <c r="U58" s="26">
        <f t="shared" si="39"/>
        <v>19</v>
      </c>
      <c r="V58" s="26">
        <f t="shared" si="39"/>
        <v>19</v>
      </c>
      <c r="W58" s="26">
        <f t="shared" si="39"/>
        <v>19</v>
      </c>
      <c r="X58" s="28">
        <f t="shared" ref="X58:Y58" si="40">X57</f>
        <v>45</v>
      </c>
      <c r="Y58" s="29">
        <f t="shared" si="40"/>
        <v>41</v>
      </c>
      <c r="Z58" s="26">
        <v>3.0</v>
      </c>
      <c r="AA58" s="26">
        <v>3.0</v>
      </c>
      <c r="AB58" s="26">
        <v>3.0</v>
      </c>
      <c r="AC58" s="26">
        <v>3.0</v>
      </c>
      <c r="AD58" s="26">
        <v>3.0</v>
      </c>
      <c r="AE58" s="26">
        <v>3.0</v>
      </c>
      <c r="AF58" s="26">
        <v>3.0</v>
      </c>
      <c r="AG58" s="26">
        <v>3.0</v>
      </c>
      <c r="AH58" s="26">
        <v>3.0</v>
      </c>
      <c r="AI58" s="26">
        <v>3.0</v>
      </c>
      <c r="AJ58" s="26">
        <v>3.0</v>
      </c>
      <c r="AK58" s="26">
        <v>3.0</v>
      </c>
      <c r="AL58" s="26">
        <v>3.0</v>
      </c>
      <c r="AM58" s="26">
        <v>3.0</v>
      </c>
      <c r="AN58" s="26">
        <v>3.0</v>
      </c>
      <c r="AO58" s="26">
        <v>3.0</v>
      </c>
      <c r="AP58" s="26">
        <v>3.0</v>
      </c>
      <c r="AQ58" s="26">
        <v>3.0</v>
      </c>
      <c r="AR58" s="26">
        <v>33.0</v>
      </c>
      <c r="AS58" s="25">
        <v>29.0</v>
      </c>
      <c r="AT58" s="26">
        <v>48.0</v>
      </c>
      <c r="AU58" s="27">
        <v>48.0</v>
      </c>
    </row>
    <row r="59">
      <c r="B59" s="24">
        <v>19.0</v>
      </c>
      <c r="C59" s="25" t="s">
        <v>47</v>
      </c>
      <c r="D59" s="25">
        <v>0.0</v>
      </c>
      <c r="E59" s="25">
        <v>0.0</v>
      </c>
      <c r="F59" s="26">
        <v>46.0</v>
      </c>
      <c r="G59" s="26">
        <f t="shared" ref="G59:W59" si="41">F59</f>
        <v>46</v>
      </c>
      <c r="H59" s="26">
        <f t="shared" si="41"/>
        <v>46</v>
      </c>
      <c r="I59" s="26">
        <f t="shared" si="41"/>
        <v>46</v>
      </c>
      <c r="J59" s="26">
        <f t="shared" si="41"/>
        <v>46</v>
      </c>
      <c r="K59" s="26">
        <f t="shared" si="41"/>
        <v>46</v>
      </c>
      <c r="L59" s="26">
        <f t="shared" si="41"/>
        <v>46</v>
      </c>
      <c r="M59" s="26">
        <f t="shared" si="41"/>
        <v>46</v>
      </c>
      <c r="N59" s="26">
        <f t="shared" si="41"/>
        <v>46</v>
      </c>
      <c r="O59" s="26">
        <f t="shared" si="41"/>
        <v>46</v>
      </c>
      <c r="P59" s="26">
        <f t="shared" si="41"/>
        <v>46</v>
      </c>
      <c r="Q59" s="26">
        <f t="shared" si="41"/>
        <v>46</v>
      </c>
      <c r="R59" s="26">
        <f t="shared" si="41"/>
        <v>46</v>
      </c>
      <c r="S59" s="26">
        <f t="shared" si="41"/>
        <v>46</v>
      </c>
      <c r="T59" s="26">
        <f t="shared" si="41"/>
        <v>46</v>
      </c>
      <c r="U59" s="26">
        <f t="shared" si="41"/>
        <v>46</v>
      </c>
      <c r="V59" s="26">
        <f t="shared" si="41"/>
        <v>46</v>
      </c>
      <c r="W59" s="26">
        <f t="shared" si="41"/>
        <v>46</v>
      </c>
      <c r="X59" s="28">
        <f t="shared" ref="X59:Y59" si="42">X58</f>
        <v>45</v>
      </c>
      <c r="Y59" s="29">
        <f t="shared" si="42"/>
        <v>41</v>
      </c>
      <c r="Z59" s="26">
        <v>34.0</v>
      </c>
      <c r="AA59" s="26">
        <v>34.0</v>
      </c>
      <c r="AB59" s="26">
        <v>34.0</v>
      </c>
      <c r="AC59" s="26">
        <v>34.0</v>
      </c>
      <c r="AD59" s="26">
        <v>34.0</v>
      </c>
      <c r="AE59" s="26">
        <v>34.0</v>
      </c>
      <c r="AF59" s="26">
        <v>34.0</v>
      </c>
      <c r="AG59" s="26">
        <v>34.0</v>
      </c>
      <c r="AH59" s="26">
        <v>34.0</v>
      </c>
      <c r="AI59" s="26">
        <v>34.0</v>
      </c>
      <c r="AJ59" s="26">
        <v>34.0</v>
      </c>
      <c r="AK59" s="26">
        <v>34.0</v>
      </c>
      <c r="AL59" s="26">
        <v>34.0</v>
      </c>
      <c r="AM59" s="26">
        <v>34.0</v>
      </c>
      <c r="AN59" s="26">
        <v>34.0</v>
      </c>
      <c r="AO59" s="26">
        <v>34.0</v>
      </c>
      <c r="AP59" s="26">
        <v>34.0</v>
      </c>
      <c r="AQ59" s="26">
        <v>34.0</v>
      </c>
      <c r="AR59" s="26">
        <v>33.0</v>
      </c>
      <c r="AS59" s="25">
        <v>29.0</v>
      </c>
      <c r="AT59" s="26">
        <v>48.0</v>
      </c>
      <c r="AU59" s="27">
        <v>48.0</v>
      </c>
    </row>
    <row r="60">
      <c r="B60" s="24">
        <v>20.0</v>
      </c>
      <c r="C60" s="25" t="s">
        <v>48</v>
      </c>
      <c r="D60" s="25">
        <v>0.0</v>
      </c>
      <c r="E60" s="25">
        <v>0.0</v>
      </c>
      <c r="F60" s="26">
        <v>37.0</v>
      </c>
      <c r="G60" s="26">
        <f>F60</f>
        <v>37</v>
      </c>
      <c r="H60" s="28">
        <f t="shared" ref="H60:N60" si="43">F60</f>
        <v>37</v>
      </c>
      <c r="I60" s="28">
        <f t="shared" si="43"/>
        <v>37</v>
      </c>
      <c r="J60" s="28">
        <f t="shared" si="43"/>
        <v>37</v>
      </c>
      <c r="K60" s="28">
        <f t="shared" si="43"/>
        <v>37</v>
      </c>
      <c r="L60" s="28">
        <f t="shared" si="43"/>
        <v>37</v>
      </c>
      <c r="M60" s="28">
        <f t="shared" si="43"/>
        <v>37</v>
      </c>
      <c r="N60" s="28">
        <f t="shared" si="43"/>
        <v>37</v>
      </c>
      <c r="O60" s="26">
        <v>36.0</v>
      </c>
      <c r="P60" s="28">
        <f t="shared" ref="P60:W60" si="44">N60</f>
        <v>37</v>
      </c>
      <c r="Q60" s="28">
        <f t="shared" si="44"/>
        <v>36</v>
      </c>
      <c r="R60" s="28">
        <f t="shared" si="44"/>
        <v>37</v>
      </c>
      <c r="S60" s="28">
        <f t="shared" si="44"/>
        <v>36</v>
      </c>
      <c r="T60" s="28">
        <f t="shared" si="44"/>
        <v>37</v>
      </c>
      <c r="U60" s="28">
        <f t="shared" si="44"/>
        <v>36</v>
      </c>
      <c r="V60" s="28">
        <f t="shared" si="44"/>
        <v>37</v>
      </c>
      <c r="W60" s="28">
        <f t="shared" si="44"/>
        <v>36</v>
      </c>
      <c r="X60" s="28">
        <f t="shared" ref="X60:Y60" si="45">X59</f>
        <v>45</v>
      </c>
      <c r="Y60" s="29">
        <f t="shared" si="45"/>
        <v>41</v>
      </c>
      <c r="Z60" s="26">
        <v>28.0</v>
      </c>
      <c r="AA60" s="26">
        <v>28.0</v>
      </c>
      <c r="AB60" s="26">
        <v>28.0</v>
      </c>
      <c r="AC60" s="26">
        <v>28.0</v>
      </c>
      <c r="AD60" s="26">
        <v>28.0</v>
      </c>
      <c r="AE60" s="26">
        <v>28.0</v>
      </c>
      <c r="AF60" s="26">
        <v>28.0</v>
      </c>
      <c r="AG60" s="26">
        <v>28.0</v>
      </c>
      <c r="AH60" s="26">
        <v>28.0</v>
      </c>
      <c r="AI60" s="26">
        <v>28.0</v>
      </c>
      <c r="AJ60" s="26">
        <v>28.0</v>
      </c>
      <c r="AK60" s="26">
        <v>28.0</v>
      </c>
      <c r="AL60" s="26">
        <v>28.0</v>
      </c>
      <c r="AM60" s="26">
        <v>28.0</v>
      </c>
      <c r="AN60" s="26">
        <v>28.0</v>
      </c>
      <c r="AO60" s="26">
        <v>28.0</v>
      </c>
      <c r="AP60" s="26">
        <v>28.0</v>
      </c>
      <c r="AQ60" s="26">
        <v>28.0</v>
      </c>
      <c r="AR60" s="26">
        <v>33.0</v>
      </c>
      <c r="AS60" s="25">
        <v>29.0</v>
      </c>
      <c r="AT60" s="26">
        <v>48.0</v>
      </c>
      <c r="AU60" s="27">
        <v>48.0</v>
      </c>
    </row>
    <row r="61">
      <c r="B61" s="30">
        <v>21.0</v>
      </c>
      <c r="C61" s="31" t="s">
        <v>49</v>
      </c>
      <c r="D61" s="31">
        <v>0.0</v>
      </c>
      <c r="E61" s="31">
        <v>0.0</v>
      </c>
      <c r="F61" s="32">
        <v>47.0</v>
      </c>
      <c r="G61" s="32">
        <v>47.0</v>
      </c>
      <c r="H61" s="32">
        <v>47.0</v>
      </c>
      <c r="I61" s="32">
        <v>47.0</v>
      </c>
      <c r="J61" s="32">
        <v>47.0</v>
      </c>
      <c r="K61" s="32">
        <v>47.0</v>
      </c>
      <c r="L61" s="32">
        <v>47.0</v>
      </c>
      <c r="M61" s="32">
        <v>47.0</v>
      </c>
      <c r="N61" s="32">
        <v>47.0</v>
      </c>
      <c r="O61" s="32">
        <v>47.0</v>
      </c>
      <c r="P61" s="32">
        <v>47.0</v>
      </c>
      <c r="Q61" s="32">
        <v>47.0</v>
      </c>
      <c r="R61" s="32">
        <v>47.0</v>
      </c>
      <c r="S61" s="32">
        <v>47.0</v>
      </c>
      <c r="T61" s="32">
        <v>47.0</v>
      </c>
      <c r="U61" s="32">
        <v>47.0</v>
      </c>
      <c r="V61" s="32">
        <v>47.0</v>
      </c>
      <c r="W61" s="32">
        <v>47.0</v>
      </c>
      <c r="X61" s="32">
        <v>47.0</v>
      </c>
      <c r="Y61" s="31">
        <v>47.0</v>
      </c>
      <c r="Z61" s="32">
        <v>35.0</v>
      </c>
      <c r="AA61" s="32">
        <v>35.0</v>
      </c>
      <c r="AB61" s="32">
        <v>35.0</v>
      </c>
      <c r="AC61" s="32">
        <v>35.0</v>
      </c>
      <c r="AD61" s="32">
        <v>35.0</v>
      </c>
      <c r="AE61" s="32">
        <v>35.0</v>
      </c>
      <c r="AF61" s="32">
        <v>35.0</v>
      </c>
      <c r="AG61" s="32">
        <v>35.0</v>
      </c>
      <c r="AH61" s="32">
        <v>35.0</v>
      </c>
      <c r="AI61" s="32">
        <v>35.0</v>
      </c>
      <c r="AJ61" s="32">
        <v>35.0</v>
      </c>
      <c r="AK61" s="32">
        <v>35.0</v>
      </c>
      <c r="AL61" s="32">
        <v>36.0</v>
      </c>
      <c r="AM61" s="32">
        <v>35.0</v>
      </c>
      <c r="AN61" s="32">
        <v>35.0</v>
      </c>
      <c r="AO61" s="32">
        <v>35.0</v>
      </c>
      <c r="AP61" s="32">
        <v>35.0</v>
      </c>
      <c r="AQ61" s="32">
        <v>35.0</v>
      </c>
      <c r="AR61" s="32">
        <v>35.0</v>
      </c>
      <c r="AS61" s="31">
        <v>35.0</v>
      </c>
      <c r="AT61" s="32">
        <v>48.0</v>
      </c>
      <c r="AU61" s="33">
        <v>48.0</v>
      </c>
    </row>
    <row r="62">
      <c r="B62" s="24">
        <v>22.0</v>
      </c>
      <c r="C62" s="25" t="s">
        <v>50</v>
      </c>
      <c r="D62" s="25">
        <v>1.0</v>
      </c>
      <c r="E62" s="25">
        <v>1.0</v>
      </c>
      <c r="F62" s="26">
        <v>49.0</v>
      </c>
      <c r="G62" s="26">
        <v>49.0</v>
      </c>
      <c r="H62" s="26">
        <v>49.0</v>
      </c>
      <c r="I62" s="26">
        <v>49.0</v>
      </c>
      <c r="J62" s="26">
        <v>49.0</v>
      </c>
      <c r="K62" s="26">
        <v>49.0</v>
      </c>
      <c r="L62" s="26">
        <v>50.0</v>
      </c>
      <c r="M62" s="26">
        <v>49.0</v>
      </c>
      <c r="N62" s="26">
        <v>49.0</v>
      </c>
      <c r="O62" s="26">
        <v>49.0</v>
      </c>
      <c r="P62" s="26">
        <v>49.0</v>
      </c>
      <c r="Q62" s="26">
        <v>49.0</v>
      </c>
      <c r="R62" s="26">
        <v>50.0</v>
      </c>
      <c r="S62" s="26">
        <v>49.0</v>
      </c>
      <c r="T62" s="26">
        <v>49.0</v>
      </c>
      <c r="U62" s="26">
        <v>49.0</v>
      </c>
      <c r="V62" s="26">
        <v>49.0</v>
      </c>
      <c r="W62" s="26">
        <v>49.0</v>
      </c>
      <c r="X62" s="26">
        <v>49.0</v>
      </c>
      <c r="Y62" s="25">
        <v>49.0</v>
      </c>
      <c r="Z62" s="26">
        <v>35.0</v>
      </c>
      <c r="AA62" s="26">
        <v>35.0</v>
      </c>
      <c r="AB62" s="26">
        <v>35.0</v>
      </c>
      <c r="AC62" s="26">
        <v>35.0</v>
      </c>
      <c r="AD62" s="26">
        <v>35.0</v>
      </c>
      <c r="AE62" s="26">
        <v>35.0</v>
      </c>
      <c r="AF62" s="26">
        <v>36.0</v>
      </c>
      <c r="AG62" s="26">
        <v>35.0</v>
      </c>
      <c r="AH62" s="26">
        <v>35.0</v>
      </c>
      <c r="AI62" s="26">
        <v>35.0</v>
      </c>
      <c r="AJ62" s="26">
        <v>35.0</v>
      </c>
      <c r="AK62" s="26">
        <v>35.0</v>
      </c>
      <c r="AL62" s="26">
        <v>36.0</v>
      </c>
      <c r="AM62" s="26">
        <v>35.0</v>
      </c>
      <c r="AN62" s="26">
        <v>35.0</v>
      </c>
      <c r="AO62" s="26">
        <v>35.0</v>
      </c>
      <c r="AP62" s="26">
        <v>35.0</v>
      </c>
      <c r="AQ62" s="26">
        <v>35.0</v>
      </c>
      <c r="AR62" s="26">
        <v>35.0</v>
      </c>
      <c r="AS62" s="25">
        <v>35.0</v>
      </c>
      <c r="AT62" s="26">
        <v>48.0</v>
      </c>
      <c r="AU62" s="27">
        <v>48.0</v>
      </c>
    </row>
    <row r="63">
      <c r="B63" s="24">
        <v>23.0</v>
      </c>
      <c r="C63" s="25" t="s">
        <v>51</v>
      </c>
      <c r="D63" s="25">
        <v>1.0</v>
      </c>
      <c r="E63" s="25">
        <v>1.0</v>
      </c>
      <c r="F63" s="26">
        <v>51.0</v>
      </c>
      <c r="G63" s="26">
        <v>51.0</v>
      </c>
      <c r="H63" s="26">
        <v>51.0</v>
      </c>
      <c r="I63" s="26">
        <v>51.0</v>
      </c>
      <c r="J63" s="26">
        <v>51.0</v>
      </c>
      <c r="K63" s="26">
        <v>51.0</v>
      </c>
      <c r="L63" s="26">
        <v>97.0</v>
      </c>
      <c r="M63" s="26">
        <v>51.0</v>
      </c>
      <c r="N63" s="26">
        <v>51.0</v>
      </c>
      <c r="O63" s="26">
        <v>51.0</v>
      </c>
      <c r="P63" s="26">
        <v>51.0</v>
      </c>
      <c r="Q63" s="26">
        <v>51.0</v>
      </c>
      <c r="R63" s="26">
        <v>97.0</v>
      </c>
      <c r="S63" s="26">
        <v>51.0</v>
      </c>
      <c r="T63" s="26">
        <v>51.0</v>
      </c>
      <c r="U63" s="26">
        <v>51.0</v>
      </c>
      <c r="V63" s="26">
        <v>51.0</v>
      </c>
      <c r="W63" s="26">
        <v>51.0</v>
      </c>
      <c r="X63" s="26">
        <v>51.0</v>
      </c>
      <c r="Y63" s="25">
        <v>51.0</v>
      </c>
      <c r="Z63" s="26">
        <v>35.0</v>
      </c>
      <c r="AA63" s="26">
        <v>35.0</v>
      </c>
      <c r="AB63" s="26">
        <v>35.0</v>
      </c>
      <c r="AC63" s="26">
        <v>35.0</v>
      </c>
      <c r="AD63" s="26">
        <v>35.0</v>
      </c>
      <c r="AE63" s="26">
        <v>35.0</v>
      </c>
      <c r="AF63" s="26">
        <v>36.0</v>
      </c>
      <c r="AG63" s="26">
        <v>35.0</v>
      </c>
      <c r="AH63" s="26">
        <v>35.0</v>
      </c>
      <c r="AI63" s="26">
        <v>35.0</v>
      </c>
      <c r="AJ63" s="26">
        <v>35.0</v>
      </c>
      <c r="AK63" s="26">
        <v>35.0</v>
      </c>
      <c r="AL63" s="26">
        <v>36.0</v>
      </c>
      <c r="AM63" s="26">
        <v>35.0</v>
      </c>
      <c r="AN63" s="26">
        <v>35.0</v>
      </c>
      <c r="AO63" s="26">
        <v>35.0</v>
      </c>
      <c r="AP63" s="26">
        <v>35.0</v>
      </c>
      <c r="AQ63" s="26">
        <v>35.0</v>
      </c>
      <c r="AR63" s="26">
        <v>35.0</v>
      </c>
      <c r="AS63" s="25">
        <v>35.0</v>
      </c>
      <c r="AT63" s="26">
        <v>48.0</v>
      </c>
      <c r="AU63" s="27">
        <v>48.0</v>
      </c>
    </row>
    <row r="64">
      <c r="B64" s="24">
        <v>24.0</v>
      </c>
      <c r="C64" s="25" t="s">
        <v>52</v>
      </c>
      <c r="D64" s="25">
        <v>1.0</v>
      </c>
      <c r="E64" s="25">
        <v>1.0</v>
      </c>
      <c r="F64" s="26">
        <v>52.0</v>
      </c>
      <c r="G64" s="26">
        <v>52.0</v>
      </c>
      <c r="H64" s="26">
        <v>52.0</v>
      </c>
      <c r="I64" s="26">
        <v>52.0</v>
      </c>
      <c r="J64" s="26">
        <v>52.0</v>
      </c>
      <c r="K64" s="26">
        <v>52.0</v>
      </c>
      <c r="L64" s="26">
        <v>97.0</v>
      </c>
      <c r="M64" s="26">
        <v>52.0</v>
      </c>
      <c r="N64" s="26">
        <v>52.0</v>
      </c>
      <c r="O64" s="26">
        <v>52.0</v>
      </c>
      <c r="P64" s="26">
        <v>52.0</v>
      </c>
      <c r="Q64" s="26">
        <v>52.0</v>
      </c>
      <c r="R64" s="26">
        <v>97.0</v>
      </c>
      <c r="S64" s="26">
        <v>52.0</v>
      </c>
      <c r="T64" s="26">
        <v>52.0</v>
      </c>
      <c r="U64" s="26">
        <v>52.0</v>
      </c>
      <c r="V64" s="26">
        <v>52.0</v>
      </c>
      <c r="W64" s="26">
        <v>52.0</v>
      </c>
      <c r="X64" s="26">
        <v>52.0</v>
      </c>
      <c r="Y64" s="25">
        <v>52.0</v>
      </c>
      <c r="Z64" s="26">
        <v>35.0</v>
      </c>
      <c r="AA64" s="26">
        <v>35.0</v>
      </c>
      <c r="AB64" s="26">
        <v>35.0</v>
      </c>
      <c r="AC64" s="26">
        <v>35.0</v>
      </c>
      <c r="AD64" s="26">
        <v>35.0</v>
      </c>
      <c r="AE64" s="26">
        <v>35.0</v>
      </c>
      <c r="AF64" s="26">
        <v>36.0</v>
      </c>
      <c r="AG64" s="26">
        <v>35.0</v>
      </c>
      <c r="AH64" s="26">
        <v>35.0</v>
      </c>
      <c r="AI64" s="26">
        <v>35.0</v>
      </c>
      <c r="AJ64" s="26">
        <v>35.0</v>
      </c>
      <c r="AK64" s="26">
        <v>35.0</v>
      </c>
      <c r="AL64" s="26">
        <v>36.0</v>
      </c>
      <c r="AM64" s="26">
        <v>35.0</v>
      </c>
      <c r="AN64" s="26">
        <v>35.0</v>
      </c>
      <c r="AO64" s="26">
        <v>35.0</v>
      </c>
      <c r="AP64" s="26">
        <v>35.0</v>
      </c>
      <c r="AQ64" s="26">
        <v>35.0</v>
      </c>
      <c r="AR64" s="26">
        <v>35.0</v>
      </c>
      <c r="AS64" s="25">
        <v>35.0</v>
      </c>
      <c r="AT64" s="26">
        <v>48.0</v>
      </c>
      <c r="AU64" s="27">
        <v>48.0</v>
      </c>
    </row>
    <row r="65">
      <c r="B65" s="24">
        <v>25.0</v>
      </c>
      <c r="C65" s="25" t="s">
        <v>53</v>
      </c>
      <c r="D65" s="25">
        <v>1.0</v>
      </c>
      <c r="E65" s="25">
        <v>1.0</v>
      </c>
      <c r="F65" s="26">
        <v>54.0</v>
      </c>
      <c r="G65" s="26">
        <v>54.0</v>
      </c>
      <c r="H65" s="26">
        <v>54.0</v>
      </c>
      <c r="I65" s="26">
        <v>54.0</v>
      </c>
      <c r="J65" s="26">
        <v>54.0</v>
      </c>
      <c r="K65" s="26">
        <v>54.0</v>
      </c>
      <c r="L65" s="26">
        <v>97.0</v>
      </c>
      <c r="M65" s="26">
        <v>54.0</v>
      </c>
      <c r="N65" s="26">
        <v>54.0</v>
      </c>
      <c r="O65" s="26">
        <v>54.0</v>
      </c>
      <c r="P65" s="26">
        <v>54.0</v>
      </c>
      <c r="Q65" s="26">
        <v>54.0</v>
      </c>
      <c r="R65" s="26">
        <v>97.0</v>
      </c>
      <c r="S65" s="26">
        <v>54.0</v>
      </c>
      <c r="T65" s="26">
        <v>54.0</v>
      </c>
      <c r="U65" s="26">
        <v>54.0</v>
      </c>
      <c r="V65" s="26">
        <v>54.0</v>
      </c>
      <c r="W65" s="26">
        <v>54.0</v>
      </c>
      <c r="X65" s="26">
        <v>54.0</v>
      </c>
      <c r="Y65" s="25">
        <v>54.0</v>
      </c>
      <c r="Z65" s="26">
        <v>35.0</v>
      </c>
      <c r="AA65" s="26">
        <v>35.0</v>
      </c>
      <c r="AB65" s="26">
        <v>35.0</v>
      </c>
      <c r="AC65" s="26">
        <v>35.0</v>
      </c>
      <c r="AD65" s="26">
        <v>35.0</v>
      </c>
      <c r="AE65" s="26">
        <v>35.0</v>
      </c>
      <c r="AF65" s="26">
        <v>36.0</v>
      </c>
      <c r="AG65" s="26">
        <v>35.0</v>
      </c>
      <c r="AH65" s="26">
        <v>35.0</v>
      </c>
      <c r="AI65" s="26">
        <v>35.0</v>
      </c>
      <c r="AJ65" s="26">
        <v>35.0</v>
      </c>
      <c r="AK65" s="26">
        <v>35.0</v>
      </c>
      <c r="AL65" s="26">
        <v>36.0</v>
      </c>
      <c r="AM65" s="26">
        <v>35.0</v>
      </c>
      <c r="AN65" s="26">
        <v>35.0</v>
      </c>
      <c r="AO65" s="26">
        <v>35.0</v>
      </c>
      <c r="AP65" s="26">
        <v>35.0</v>
      </c>
      <c r="AQ65" s="26">
        <v>35.0</v>
      </c>
      <c r="AR65" s="26">
        <v>35.0</v>
      </c>
      <c r="AS65" s="25">
        <v>35.0</v>
      </c>
      <c r="AT65" s="26">
        <v>48.0</v>
      </c>
      <c r="AU65" s="27">
        <v>48.0</v>
      </c>
    </row>
    <row r="66">
      <c r="B66" s="24">
        <v>26.0</v>
      </c>
      <c r="C66" s="25" t="s">
        <v>54</v>
      </c>
      <c r="D66" s="25">
        <v>1.0</v>
      </c>
      <c r="E66" s="25">
        <v>1.0</v>
      </c>
      <c r="F66" s="26">
        <v>55.0</v>
      </c>
      <c r="G66" s="26">
        <v>55.0</v>
      </c>
      <c r="H66" s="26">
        <v>55.0</v>
      </c>
      <c r="I66" s="26">
        <v>55.0</v>
      </c>
      <c r="J66" s="26">
        <v>55.0</v>
      </c>
      <c r="K66" s="26">
        <v>55.0</v>
      </c>
      <c r="L66" s="26">
        <v>53.0</v>
      </c>
      <c r="M66" s="26">
        <v>55.0</v>
      </c>
      <c r="N66" s="26">
        <v>55.0</v>
      </c>
      <c r="O66" s="26">
        <v>55.0</v>
      </c>
      <c r="P66" s="26">
        <v>55.0</v>
      </c>
      <c r="Q66" s="26">
        <v>55.0</v>
      </c>
      <c r="R66" s="26">
        <v>55.0</v>
      </c>
      <c r="S66" s="26">
        <v>55.0</v>
      </c>
      <c r="T66" s="26">
        <v>55.0</v>
      </c>
      <c r="U66" s="26">
        <v>55.0</v>
      </c>
      <c r="V66" s="26">
        <v>55.0</v>
      </c>
      <c r="W66" s="26">
        <v>55.0</v>
      </c>
      <c r="X66" s="26">
        <v>55.0</v>
      </c>
      <c r="Y66" s="25">
        <v>55.0</v>
      </c>
      <c r="Z66" s="26">
        <v>35.0</v>
      </c>
      <c r="AA66" s="26">
        <v>35.0</v>
      </c>
      <c r="AB66" s="26">
        <v>35.0</v>
      </c>
      <c r="AC66" s="26">
        <v>35.0</v>
      </c>
      <c r="AD66" s="26">
        <v>35.0</v>
      </c>
      <c r="AE66" s="26">
        <v>35.0</v>
      </c>
      <c r="AF66" s="26">
        <v>36.0</v>
      </c>
      <c r="AG66" s="26">
        <v>35.0</v>
      </c>
      <c r="AH66" s="26">
        <v>35.0</v>
      </c>
      <c r="AI66" s="26">
        <v>35.0</v>
      </c>
      <c r="AJ66" s="26">
        <v>35.0</v>
      </c>
      <c r="AK66" s="26">
        <v>35.0</v>
      </c>
      <c r="AL66" s="26">
        <v>36.0</v>
      </c>
      <c r="AM66" s="26">
        <v>35.0</v>
      </c>
      <c r="AN66" s="26">
        <v>35.0</v>
      </c>
      <c r="AO66" s="26">
        <v>35.0</v>
      </c>
      <c r="AP66" s="26">
        <v>35.0</v>
      </c>
      <c r="AQ66" s="26">
        <v>35.0</v>
      </c>
      <c r="AR66" s="26">
        <v>35.0</v>
      </c>
      <c r="AS66" s="25">
        <v>35.0</v>
      </c>
      <c r="AT66" s="26">
        <v>48.0</v>
      </c>
      <c r="AU66" s="27">
        <v>48.0</v>
      </c>
    </row>
    <row r="67">
      <c r="B67" s="24">
        <v>27.0</v>
      </c>
      <c r="C67" s="25" t="s">
        <v>55</v>
      </c>
      <c r="D67" s="25">
        <v>0.0</v>
      </c>
      <c r="E67" s="25">
        <v>0.0</v>
      </c>
      <c r="F67" s="26">
        <v>56.0</v>
      </c>
      <c r="G67" s="26">
        <v>56.0</v>
      </c>
      <c r="H67" s="26">
        <v>56.0</v>
      </c>
      <c r="I67" s="26">
        <v>56.0</v>
      </c>
      <c r="J67" s="26">
        <v>56.0</v>
      </c>
      <c r="K67" s="26">
        <v>56.0</v>
      </c>
      <c r="L67" s="26">
        <v>56.0</v>
      </c>
      <c r="M67" s="26">
        <v>56.0</v>
      </c>
      <c r="N67" s="26">
        <v>56.0</v>
      </c>
      <c r="O67" s="26">
        <v>56.0</v>
      </c>
      <c r="P67" s="26">
        <v>56.0</v>
      </c>
      <c r="Q67" s="26">
        <v>56.0</v>
      </c>
      <c r="R67" s="26">
        <v>56.0</v>
      </c>
      <c r="S67" s="26">
        <v>56.0</v>
      </c>
      <c r="T67" s="26">
        <v>56.0</v>
      </c>
      <c r="U67" s="26">
        <v>56.0</v>
      </c>
      <c r="V67" s="26">
        <v>56.0</v>
      </c>
      <c r="W67" s="26">
        <v>56.0</v>
      </c>
      <c r="X67" s="26">
        <v>56.0</v>
      </c>
      <c r="Y67" s="25">
        <v>56.0</v>
      </c>
      <c r="Z67" s="26">
        <v>35.0</v>
      </c>
      <c r="AA67" s="26">
        <v>35.0</v>
      </c>
      <c r="AB67" s="26">
        <v>35.0</v>
      </c>
      <c r="AC67" s="26">
        <v>35.0</v>
      </c>
      <c r="AD67" s="26">
        <v>35.0</v>
      </c>
      <c r="AE67" s="26">
        <v>35.0</v>
      </c>
      <c r="AF67" s="26">
        <v>35.0</v>
      </c>
      <c r="AG67" s="26">
        <v>35.0</v>
      </c>
      <c r="AH67" s="26">
        <v>35.0</v>
      </c>
      <c r="AI67" s="26">
        <v>35.0</v>
      </c>
      <c r="AJ67" s="26">
        <v>35.0</v>
      </c>
      <c r="AK67" s="26">
        <v>35.0</v>
      </c>
      <c r="AL67" s="26">
        <v>35.0</v>
      </c>
      <c r="AM67" s="26">
        <v>35.0</v>
      </c>
      <c r="AN67" s="26">
        <v>35.0</v>
      </c>
      <c r="AO67" s="26">
        <v>35.0</v>
      </c>
      <c r="AP67" s="26">
        <v>35.0</v>
      </c>
      <c r="AQ67" s="26">
        <v>35.0</v>
      </c>
      <c r="AR67" s="26">
        <v>35.0</v>
      </c>
      <c r="AS67" s="25">
        <v>35.0</v>
      </c>
      <c r="AT67" s="26">
        <v>48.0</v>
      </c>
      <c r="AU67" s="27">
        <v>48.0</v>
      </c>
    </row>
    <row r="68">
      <c r="B68" s="24">
        <v>28.0</v>
      </c>
      <c r="C68" s="25" t="s">
        <v>56</v>
      </c>
      <c r="D68" s="25">
        <v>0.0</v>
      </c>
      <c r="E68" s="25">
        <v>0.0</v>
      </c>
      <c r="F68" s="26">
        <v>57.0</v>
      </c>
      <c r="G68" s="26">
        <v>57.0</v>
      </c>
      <c r="H68" s="26">
        <v>57.0</v>
      </c>
      <c r="I68" s="26">
        <v>57.0</v>
      </c>
      <c r="J68" s="26">
        <v>57.0</v>
      </c>
      <c r="K68" s="26">
        <v>57.0</v>
      </c>
      <c r="L68" s="26">
        <v>57.0</v>
      </c>
      <c r="M68" s="26">
        <v>57.0</v>
      </c>
      <c r="N68" s="26">
        <v>57.0</v>
      </c>
      <c r="O68" s="26">
        <v>57.0</v>
      </c>
      <c r="P68" s="26">
        <v>57.0</v>
      </c>
      <c r="Q68" s="26">
        <v>57.0</v>
      </c>
      <c r="R68" s="26">
        <v>57.0</v>
      </c>
      <c r="S68" s="26">
        <v>57.0</v>
      </c>
      <c r="T68" s="26">
        <v>57.0</v>
      </c>
      <c r="U68" s="26">
        <v>57.0</v>
      </c>
      <c r="V68" s="26">
        <v>57.0</v>
      </c>
      <c r="W68" s="26">
        <v>57.0</v>
      </c>
      <c r="X68" s="26">
        <v>57.0</v>
      </c>
      <c r="Y68" s="25">
        <v>57.0</v>
      </c>
      <c r="Z68" s="26">
        <v>35.0</v>
      </c>
      <c r="AA68" s="26">
        <v>35.0</v>
      </c>
      <c r="AB68" s="26">
        <v>35.0</v>
      </c>
      <c r="AC68" s="26">
        <v>35.0</v>
      </c>
      <c r="AD68" s="26">
        <v>35.0</v>
      </c>
      <c r="AE68" s="26">
        <v>35.0</v>
      </c>
      <c r="AF68" s="26">
        <v>35.0</v>
      </c>
      <c r="AG68" s="26">
        <v>35.0</v>
      </c>
      <c r="AH68" s="26">
        <v>35.0</v>
      </c>
      <c r="AI68" s="26">
        <v>35.0</v>
      </c>
      <c r="AJ68" s="26">
        <v>35.0</v>
      </c>
      <c r="AK68" s="26">
        <v>35.0</v>
      </c>
      <c r="AL68" s="26">
        <v>35.0</v>
      </c>
      <c r="AM68" s="26">
        <v>35.0</v>
      </c>
      <c r="AN68" s="26">
        <v>35.0</v>
      </c>
      <c r="AO68" s="26">
        <v>35.0</v>
      </c>
      <c r="AP68" s="26">
        <v>35.0</v>
      </c>
      <c r="AQ68" s="26">
        <v>35.0</v>
      </c>
      <c r="AR68" s="26">
        <v>35.0</v>
      </c>
      <c r="AS68" s="25">
        <v>35.0</v>
      </c>
      <c r="AT68" s="26">
        <v>48.0</v>
      </c>
      <c r="AU68" s="27">
        <v>48.0</v>
      </c>
    </row>
    <row r="69">
      <c r="B69" s="24">
        <v>29.0</v>
      </c>
      <c r="C69" s="25" t="s">
        <v>57</v>
      </c>
      <c r="D69" s="25">
        <v>1.0</v>
      </c>
      <c r="E69" s="25">
        <v>1.0</v>
      </c>
      <c r="F69" s="26">
        <v>58.0</v>
      </c>
      <c r="G69" s="26">
        <v>58.0</v>
      </c>
      <c r="H69" s="26">
        <v>58.0</v>
      </c>
      <c r="I69" s="26">
        <v>58.0</v>
      </c>
      <c r="J69" s="26">
        <v>58.0</v>
      </c>
      <c r="K69" s="26">
        <v>58.0</v>
      </c>
      <c r="L69" s="26">
        <v>58.0</v>
      </c>
      <c r="M69" s="26">
        <v>58.0</v>
      </c>
      <c r="N69" s="26">
        <v>58.0</v>
      </c>
      <c r="O69" s="26">
        <v>58.0</v>
      </c>
      <c r="P69" s="26">
        <v>58.0</v>
      </c>
      <c r="Q69" s="26">
        <v>58.0</v>
      </c>
      <c r="R69" s="26">
        <v>58.0</v>
      </c>
      <c r="S69" s="26">
        <v>58.0</v>
      </c>
      <c r="T69" s="26">
        <v>58.0</v>
      </c>
      <c r="U69" s="26">
        <v>58.0</v>
      </c>
      <c r="V69" s="26">
        <v>58.0</v>
      </c>
      <c r="W69" s="26">
        <v>58.0</v>
      </c>
      <c r="X69" s="26">
        <v>58.0</v>
      </c>
      <c r="Y69" s="25">
        <v>58.0</v>
      </c>
      <c r="Z69" s="26">
        <v>35.0</v>
      </c>
      <c r="AA69" s="26">
        <v>35.0</v>
      </c>
      <c r="AB69" s="26">
        <v>35.0</v>
      </c>
      <c r="AC69" s="26">
        <v>35.0</v>
      </c>
      <c r="AD69" s="26">
        <v>35.0</v>
      </c>
      <c r="AE69" s="26">
        <v>35.0</v>
      </c>
      <c r="AF69" s="26">
        <v>35.0</v>
      </c>
      <c r="AG69" s="26">
        <v>35.0</v>
      </c>
      <c r="AH69" s="26">
        <v>35.0</v>
      </c>
      <c r="AI69" s="26">
        <v>35.0</v>
      </c>
      <c r="AJ69" s="26">
        <v>35.0</v>
      </c>
      <c r="AK69" s="26">
        <v>35.0</v>
      </c>
      <c r="AL69" s="26">
        <v>35.0</v>
      </c>
      <c r="AM69" s="26">
        <v>35.0</v>
      </c>
      <c r="AN69" s="26">
        <v>35.0</v>
      </c>
      <c r="AO69" s="26">
        <v>35.0</v>
      </c>
      <c r="AP69" s="26">
        <v>35.0</v>
      </c>
      <c r="AQ69" s="26">
        <v>35.0</v>
      </c>
      <c r="AR69" s="26">
        <v>35.0</v>
      </c>
      <c r="AS69" s="25">
        <v>35.0</v>
      </c>
      <c r="AT69" s="26">
        <v>48.0</v>
      </c>
      <c r="AU69" s="27">
        <v>48.0</v>
      </c>
    </row>
    <row r="70">
      <c r="B70" s="24">
        <v>30.0</v>
      </c>
      <c r="C70" s="25" t="s">
        <v>58</v>
      </c>
      <c r="D70" s="25">
        <v>1.0</v>
      </c>
      <c r="E70" s="25">
        <v>1.0</v>
      </c>
      <c r="F70" s="26">
        <v>59.0</v>
      </c>
      <c r="G70" s="26">
        <v>59.0</v>
      </c>
      <c r="H70" s="26">
        <v>59.0</v>
      </c>
      <c r="I70" s="26">
        <v>59.0</v>
      </c>
      <c r="J70" s="26">
        <v>59.0</v>
      </c>
      <c r="K70" s="26">
        <v>59.0</v>
      </c>
      <c r="L70" s="26">
        <v>59.0</v>
      </c>
      <c r="M70" s="26">
        <v>59.0</v>
      </c>
      <c r="N70" s="26">
        <v>59.0</v>
      </c>
      <c r="O70" s="26">
        <v>59.0</v>
      </c>
      <c r="P70" s="26">
        <v>59.0</v>
      </c>
      <c r="Q70" s="26">
        <v>59.0</v>
      </c>
      <c r="R70" s="26">
        <v>59.0</v>
      </c>
      <c r="S70" s="26">
        <v>59.0</v>
      </c>
      <c r="T70" s="26">
        <v>59.0</v>
      </c>
      <c r="U70" s="26">
        <v>59.0</v>
      </c>
      <c r="V70" s="26">
        <v>59.0</v>
      </c>
      <c r="W70" s="26">
        <v>59.0</v>
      </c>
      <c r="X70" s="26">
        <v>59.0</v>
      </c>
      <c r="Y70" s="25">
        <v>59.0</v>
      </c>
      <c r="Z70" s="26">
        <v>35.0</v>
      </c>
      <c r="AA70" s="26">
        <v>35.0</v>
      </c>
      <c r="AB70" s="26">
        <v>35.0</v>
      </c>
      <c r="AC70" s="26">
        <v>35.0</v>
      </c>
      <c r="AD70" s="26">
        <v>35.0</v>
      </c>
      <c r="AE70" s="26">
        <v>35.0</v>
      </c>
      <c r="AF70" s="26">
        <v>35.0</v>
      </c>
      <c r="AG70" s="26">
        <v>35.0</v>
      </c>
      <c r="AH70" s="26">
        <v>35.0</v>
      </c>
      <c r="AI70" s="26">
        <v>35.0</v>
      </c>
      <c r="AJ70" s="26">
        <v>35.0</v>
      </c>
      <c r="AK70" s="26">
        <v>35.0</v>
      </c>
      <c r="AL70" s="26">
        <v>35.0</v>
      </c>
      <c r="AM70" s="26">
        <v>35.0</v>
      </c>
      <c r="AN70" s="26">
        <v>35.0</v>
      </c>
      <c r="AO70" s="26">
        <v>35.0</v>
      </c>
      <c r="AP70" s="26">
        <v>35.0</v>
      </c>
      <c r="AQ70" s="26">
        <v>35.0</v>
      </c>
      <c r="AR70" s="26">
        <v>35.0</v>
      </c>
      <c r="AS70" s="25">
        <v>35.0</v>
      </c>
      <c r="AT70" s="26">
        <v>48.0</v>
      </c>
      <c r="AU70" s="27">
        <v>48.0</v>
      </c>
    </row>
    <row r="71">
      <c r="B71" s="24">
        <v>31.0</v>
      </c>
      <c r="C71" s="25" t="s">
        <v>59</v>
      </c>
      <c r="D71" s="25">
        <v>1.0</v>
      </c>
      <c r="E71" s="25">
        <v>1.0</v>
      </c>
      <c r="F71" s="26">
        <v>60.0</v>
      </c>
      <c r="G71" s="26">
        <v>60.0</v>
      </c>
      <c r="H71" s="26">
        <v>60.0</v>
      </c>
      <c r="I71" s="26">
        <v>60.0</v>
      </c>
      <c r="J71" s="26">
        <v>60.0</v>
      </c>
      <c r="K71" s="26">
        <v>60.0</v>
      </c>
      <c r="L71" s="26">
        <v>60.0</v>
      </c>
      <c r="M71" s="26">
        <v>60.0</v>
      </c>
      <c r="N71" s="26">
        <v>60.0</v>
      </c>
      <c r="O71" s="26">
        <v>60.0</v>
      </c>
      <c r="P71" s="26">
        <v>60.0</v>
      </c>
      <c r="Q71" s="26">
        <v>60.0</v>
      </c>
      <c r="R71" s="26">
        <v>60.0</v>
      </c>
      <c r="S71" s="26">
        <v>60.0</v>
      </c>
      <c r="T71" s="26">
        <v>60.0</v>
      </c>
      <c r="U71" s="26">
        <v>60.0</v>
      </c>
      <c r="V71" s="26">
        <v>60.0</v>
      </c>
      <c r="W71" s="26">
        <v>60.0</v>
      </c>
      <c r="X71" s="26">
        <v>60.0</v>
      </c>
      <c r="Y71" s="25">
        <v>60.0</v>
      </c>
      <c r="Z71" s="26">
        <v>35.0</v>
      </c>
      <c r="AA71" s="26">
        <v>35.0</v>
      </c>
      <c r="AB71" s="26">
        <v>35.0</v>
      </c>
      <c r="AC71" s="26">
        <v>35.0</v>
      </c>
      <c r="AD71" s="26">
        <v>35.0</v>
      </c>
      <c r="AE71" s="26">
        <v>35.0</v>
      </c>
      <c r="AF71" s="26">
        <v>35.0</v>
      </c>
      <c r="AG71" s="26">
        <v>35.0</v>
      </c>
      <c r="AH71" s="26">
        <v>35.0</v>
      </c>
      <c r="AI71" s="26">
        <v>35.0</v>
      </c>
      <c r="AJ71" s="26">
        <v>35.0</v>
      </c>
      <c r="AK71" s="26">
        <v>35.0</v>
      </c>
      <c r="AL71" s="26">
        <v>35.0</v>
      </c>
      <c r="AM71" s="26">
        <v>35.0</v>
      </c>
      <c r="AN71" s="26">
        <v>35.0</v>
      </c>
      <c r="AO71" s="26">
        <v>35.0</v>
      </c>
      <c r="AP71" s="26">
        <v>35.0</v>
      </c>
      <c r="AQ71" s="26">
        <v>35.0</v>
      </c>
      <c r="AR71" s="26">
        <v>35.0</v>
      </c>
      <c r="AS71" s="25">
        <v>35.0</v>
      </c>
      <c r="AT71" s="26">
        <v>48.0</v>
      </c>
      <c r="AU71" s="27">
        <v>48.0</v>
      </c>
    </row>
    <row r="72">
      <c r="B72" s="24">
        <v>32.0</v>
      </c>
      <c r="C72" s="25" t="s">
        <v>60</v>
      </c>
      <c r="D72" s="25">
        <v>1.0</v>
      </c>
      <c r="E72" s="25">
        <v>1.0</v>
      </c>
      <c r="F72" s="26">
        <v>61.0</v>
      </c>
      <c r="G72" s="26">
        <v>61.0</v>
      </c>
      <c r="H72" s="26">
        <v>61.0</v>
      </c>
      <c r="I72" s="26">
        <v>61.0</v>
      </c>
      <c r="J72" s="26">
        <v>61.0</v>
      </c>
      <c r="K72" s="26">
        <v>61.0</v>
      </c>
      <c r="L72" s="26">
        <v>61.0</v>
      </c>
      <c r="M72" s="26">
        <v>61.0</v>
      </c>
      <c r="N72" s="26">
        <v>61.0</v>
      </c>
      <c r="O72" s="26">
        <v>61.0</v>
      </c>
      <c r="P72" s="26">
        <v>61.0</v>
      </c>
      <c r="Q72" s="26">
        <v>61.0</v>
      </c>
      <c r="R72" s="26">
        <v>61.0</v>
      </c>
      <c r="S72" s="26">
        <v>61.0</v>
      </c>
      <c r="T72" s="26">
        <v>61.0</v>
      </c>
      <c r="U72" s="26">
        <v>61.0</v>
      </c>
      <c r="V72" s="26">
        <v>61.0</v>
      </c>
      <c r="W72" s="26">
        <v>61.0</v>
      </c>
      <c r="X72" s="26">
        <v>61.0</v>
      </c>
      <c r="Y72" s="25">
        <v>61.0</v>
      </c>
      <c r="Z72" s="26">
        <v>35.0</v>
      </c>
      <c r="AA72" s="26">
        <v>35.0</v>
      </c>
      <c r="AB72" s="26">
        <v>35.0</v>
      </c>
      <c r="AC72" s="26">
        <v>35.0</v>
      </c>
      <c r="AD72" s="26">
        <v>35.0</v>
      </c>
      <c r="AE72" s="26">
        <v>35.0</v>
      </c>
      <c r="AF72" s="26">
        <v>35.0</v>
      </c>
      <c r="AG72" s="26">
        <v>35.0</v>
      </c>
      <c r="AH72" s="26">
        <v>35.0</v>
      </c>
      <c r="AI72" s="26">
        <v>35.0</v>
      </c>
      <c r="AJ72" s="26">
        <v>35.0</v>
      </c>
      <c r="AK72" s="26">
        <v>35.0</v>
      </c>
      <c r="AL72" s="26">
        <v>35.0</v>
      </c>
      <c r="AM72" s="26">
        <v>35.0</v>
      </c>
      <c r="AN72" s="26">
        <v>35.0</v>
      </c>
      <c r="AO72" s="26">
        <v>35.0</v>
      </c>
      <c r="AP72" s="26">
        <v>35.0</v>
      </c>
      <c r="AQ72" s="26">
        <v>35.0</v>
      </c>
      <c r="AR72" s="26">
        <v>35.0</v>
      </c>
      <c r="AS72" s="25">
        <v>35.0</v>
      </c>
      <c r="AT72" s="26">
        <v>48.0</v>
      </c>
      <c r="AU72" s="27">
        <v>48.0</v>
      </c>
    </row>
    <row r="73">
      <c r="B73" s="24">
        <v>33.0</v>
      </c>
      <c r="C73" s="25" t="s">
        <v>61</v>
      </c>
      <c r="D73" s="25">
        <v>1.0</v>
      </c>
      <c r="E73" s="25">
        <v>1.0</v>
      </c>
      <c r="F73" s="26">
        <v>62.0</v>
      </c>
      <c r="G73" s="26">
        <v>62.0</v>
      </c>
      <c r="H73" s="26">
        <v>62.0</v>
      </c>
      <c r="I73" s="26">
        <v>62.0</v>
      </c>
      <c r="J73" s="26">
        <v>62.0</v>
      </c>
      <c r="K73" s="26">
        <v>62.0</v>
      </c>
      <c r="L73" s="26">
        <v>62.0</v>
      </c>
      <c r="M73" s="26">
        <v>62.0</v>
      </c>
      <c r="N73" s="26">
        <v>62.0</v>
      </c>
      <c r="O73" s="26">
        <v>62.0</v>
      </c>
      <c r="P73" s="26">
        <v>62.0</v>
      </c>
      <c r="Q73" s="26">
        <v>62.0</v>
      </c>
      <c r="R73" s="26">
        <v>62.0</v>
      </c>
      <c r="S73" s="26">
        <v>62.0</v>
      </c>
      <c r="T73" s="26">
        <v>62.0</v>
      </c>
      <c r="U73" s="26">
        <v>62.0</v>
      </c>
      <c r="V73" s="26">
        <v>62.0</v>
      </c>
      <c r="W73" s="26">
        <v>62.0</v>
      </c>
      <c r="X73" s="26">
        <v>62.0</v>
      </c>
      <c r="Y73" s="25">
        <v>62.0</v>
      </c>
      <c r="Z73" s="26">
        <v>35.0</v>
      </c>
      <c r="AA73" s="26">
        <v>35.0</v>
      </c>
      <c r="AB73" s="26">
        <v>35.0</v>
      </c>
      <c r="AC73" s="26">
        <v>35.0</v>
      </c>
      <c r="AD73" s="26">
        <v>35.0</v>
      </c>
      <c r="AE73" s="26">
        <v>35.0</v>
      </c>
      <c r="AF73" s="26">
        <v>35.0</v>
      </c>
      <c r="AG73" s="26">
        <v>35.0</v>
      </c>
      <c r="AH73" s="26">
        <v>35.0</v>
      </c>
      <c r="AI73" s="26">
        <v>35.0</v>
      </c>
      <c r="AJ73" s="26">
        <v>35.0</v>
      </c>
      <c r="AK73" s="26">
        <v>35.0</v>
      </c>
      <c r="AL73" s="26">
        <v>35.0</v>
      </c>
      <c r="AM73" s="26">
        <v>35.0</v>
      </c>
      <c r="AN73" s="26">
        <v>35.0</v>
      </c>
      <c r="AO73" s="26">
        <v>35.0</v>
      </c>
      <c r="AP73" s="26">
        <v>35.0</v>
      </c>
      <c r="AQ73" s="26">
        <v>35.0</v>
      </c>
      <c r="AR73" s="26">
        <v>35.0</v>
      </c>
      <c r="AS73" s="25">
        <v>35.0</v>
      </c>
      <c r="AT73" s="26">
        <v>48.0</v>
      </c>
      <c r="AU73" s="27">
        <v>48.0</v>
      </c>
    </row>
    <row r="74">
      <c r="B74" s="24">
        <v>34.0</v>
      </c>
      <c r="C74" s="25" t="s">
        <v>62</v>
      </c>
      <c r="D74" s="25">
        <v>1.0</v>
      </c>
      <c r="E74" s="25">
        <v>1.0</v>
      </c>
      <c r="F74" s="26">
        <v>64.0</v>
      </c>
      <c r="G74" s="26">
        <v>64.0</v>
      </c>
      <c r="H74" s="26">
        <v>64.0</v>
      </c>
      <c r="I74" s="26">
        <v>64.0</v>
      </c>
      <c r="J74" s="26">
        <v>64.0</v>
      </c>
      <c r="K74" s="26">
        <v>64.0</v>
      </c>
      <c r="L74" s="26">
        <v>64.0</v>
      </c>
      <c r="M74" s="26">
        <v>64.0</v>
      </c>
      <c r="N74" s="26">
        <v>64.0</v>
      </c>
      <c r="O74" s="26">
        <v>64.0</v>
      </c>
      <c r="P74" s="26">
        <v>64.0</v>
      </c>
      <c r="Q74" s="26">
        <v>64.0</v>
      </c>
      <c r="R74" s="26">
        <v>64.0</v>
      </c>
      <c r="S74" s="26">
        <v>64.0</v>
      </c>
      <c r="T74" s="26">
        <v>64.0</v>
      </c>
      <c r="U74" s="26">
        <v>64.0</v>
      </c>
      <c r="V74" s="26">
        <v>64.0</v>
      </c>
      <c r="W74" s="26">
        <v>64.0</v>
      </c>
      <c r="X74" s="26">
        <v>64.0</v>
      </c>
      <c r="Y74" s="25">
        <v>64.0</v>
      </c>
      <c r="Z74" s="26">
        <v>36.0</v>
      </c>
      <c r="AA74" s="26">
        <v>36.0</v>
      </c>
      <c r="AB74" s="26">
        <v>36.0</v>
      </c>
      <c r="AC74" s="26">
        <v>36.0</v>
      </c>
      <c r="AD74" s="26">
        <v>36.0</v>
      </c>
      <c r="AE74" s="26">
        <v>36.0</v>
      </c>
      <c r="AF74" s="26">
        <v>36.0</v>
      </c>
      <c r="AG74" s="26">
        <v>36.0</v>
      </c>
      <c r="AH74" s="26">
        <v>36.0</v>
      </c>
      <c r="AI74" s="26">
        <v>36.0</v>
      </c>
      <c r="AJ74" s="26">
        <v>36.0</v>
      </c>
      <c r="AK74" s="26">
        <v>36.0</v>
      </c>
      <c r="AL74" s="26">
        <v>36.0</v>
      </c>
      <c r="AM74" s="26">
        <v>36.0</v>
      </c>
      <c r="AN74" s="26">
        <v>36.0</v>
      </c>
      <c r="AO74" s="26">
        <v>36.0</v>
      </c>
      <c r="AP74" s="26">
        <v>36.0</v>
      </c>
      <c r="AQ74" s="26">
        <v>36.0</v>
      </c>
      <c r="AR74" s="26">
        <v>36.0</v>
      </c>
      <c r="AS74" s="25">
        <v>35.0</v>
      </c>
      <c r="AT74" s="26">
        <v>48.0</v>
      </c>
      <c r="AU74" s="27">
        <v>48.0</v>
      </c>
    </row>
    <row r="75">
      <c r="B75" s="24">
        <v>35.0</v>
      </c>
      <c r="C75" s="25" t="s">
        <v>63</v>
      </c>
      <c r="D75" s="25">
        <v>1.0</v>
      </c>
      <c r="E75" s="25">
        <v>0.0</v>
      </c>
      <c r="F75" s="26">
        <v>65.0</v>
      </c>
      <c r="G75" s="26">
        <v>65.0</v>
      </c>
      <c r="H75" s="26">
        <v>65.0</v>
      </c>
      <c r="I75" s="26">
        <v>65.0</v>
      </c>
      <c r="J75" s="26">
        <v>65.0</v>
      </c>
      <c r="K75" s="26">
        <v>65.0</v>
      </c>
      <c r="L75" s="26">
        <v>65.0</v>
      </c>
      <c r="M75" s="26">
        <v>65.0</v>
      </c>
      <c r="N75" s="26">
        <v>65.0</v>
      </c>
      <c r="O75" s="26">
        <v>65.0</v>
      </c>
      <c r="P75" s="26">
        <v>65.0</v>
      </c>
      <c r="Q75" s="26">
        <v>65.0</v>
      </c>
      <c r="R75" s="26">
        <v>65.0</v>
      </c>
      <c r="S75" s="26">
        <v>65.0</v>
      </c>
      <c r="T75" s="26">
        <v>65.0</v>
      </c>
      <c r="U75" s="26">
        <v>65.0</v>
      </c>
      <c r="V75" s="26">
        <v>65.0</v>
      </c>
      <c r="W75" s="26">
        <v>65.0</v>
      </c>
      <c r="X75" s="26">
        <v>65.0</v>
      </c>
      <c r="Y75" s="25">
        <v>65.0</v>
      </c>
      <c r="Z75" s="26">
        <v>37.0</v>
      </c>
      <c r="AA75" s="26">
        <v>37.0</v>
      </c>
      <c r="AB75" s="26">
        <v>37.0</v>
      </c>
      <c r="AC75" s="26">
        <v>37.0</v>
      </c>
      <c r="AD75" s="26">
        <v>37.0</v>
      </c>
      <c r="AE75" s="26">
        <v>37.0</v>
      </c>
      <c r="AF75" s="26">
        <v>37.0</v>
      </c>
      <c r="AG75" s="26">
        <v>37.0</v>
      </c>
      <c r="AH75" s="26">
        <v>37.0</v>
      </c>
      <c r="AI75" s="26">
        <v>37.0</v>
      </c>
      <c r="AJ75" s="26">
        <v>37.0</v>
      </c>
      <c r="AK75" s="26">
        <v>37.0</v>
      </c>
      <c r="AL75" s="26">
        <v>37.0</v>
      </c>
      <c r="AM75" s="26">
        <v>37.0</v>
      </c>
      <c r="AN75" s="26">
        <v>37.0</v>
      </c>
      <c r="AO75" s="26">
        <v>37.0</v>
      </c>
      <c r="AP75" s="26">
        <v>37.0</v>
      </c>
      <c r="AQ75" s="26">
        <v>37.0</v>
      </c>
      <c r="AR75" s="26">
        <v>37.0</v>
      </c>
      <c r="AS75" s="25">
        <v>37.0</v>
      </c>
      <c r="AT75" s="26">
        <v>48.0</v>
      </c>
      <c r="AU75" s="27">
        <v>48.0</v>
      </c>
    </row>
    <row r="76">
      <c r="B76" s="24">
        <v>36.0</v>
      </c>
      <c r="C76" s="25" t="s">
        <v>64</v>
      </c>
      <c r="D76" s="25">
        <v>1.0</v>
      </c>
      <c r="E76" s="25">
        <v>0.0</v>
      </c>
      <c r="F76" s="26">
        <v>66.0</v>
      </c>
      <c r="G76" s="26">
        <v>66.0</v>
      </c>
      <c r="H76" s="26">
        <v>66.0</v>
      </c>
      <c r="I76" s="26">
        <v>66.0</v>
      </c>
      <c r="J76" s="26">
        <v>66.0</v>
      </c>
      <c r="K76" s="26">
        <v>66.0</v>
      </c>
      <c r="L76" s="26">
        <v>64.0</v>
      </c>
      <c r="M76" s="26">
        <v>66.0</v>
      </c>
      <c r="N76" s="26">
        <v>66.0</v>
      </c>
      <c r="O76" s="26">
        <v>66.0</v>
      </c>
      <c r="P76" s="26">
        <v>66.0</v>
      </c>
      <c r="Q76" s="26">
        <v>66.0</v>
      </c>
      <c r="R76" s="26">
        <v>64.0</v>
      </c>
      <c r="S76" s="26">
        <v>66.0</v>
      </c>
      <c r="T76" s="26">
        <v>66.0</v>
      </c>
      <c r="U76" s="26">
        <v>66.0</v>
      </c>
      <c r="V76" s="26">
        <v>66.0</v>
      </c>
      <c r="W76" s="26">
        <v>66.0</v>
      </c>
      <c r="X76" s="26">
        <v>66.0</v>
      </c>
      <c r="Y76" s="25">
        <v>66.0</v>
      </c>
      <c r="Z76" s="26">
        <v>37.0</v>
      </c>
      <c r="AA76" s="26">
        <v>37.0</v>
      </c>
      <c r="AB76" s="26">
        <v>37.0</v>
      </c>
      <c r="AC76" s="26">
        <v>37.0</v>
      </c>
      <c r="AD76" s="26">
        <v>37.0</v>
      </c>
      <c r="AE76" s="26">
        <v>37.0</v>
      </c>
      <c r="AF76" s="26">
        <v>37.0</v>
      </c>
      <c r="AG76" s="26">
        <v>37.0</v>
      </c>
      <c r="AH76" s="26">
        <v>37.0</v>
      </c>
      <c r="AI76" s="26">
        <v>37.0</v>
      </c>
      <c r="AJ76" s="26">
        <v>37.0</v>
      </c>
      <c r="AK76" s="26">
        <v>37.0</v>
      </c>
      <c r="AL76" s="26">
        <v>37.0</v>
      </c>
      <c r="AM76" s="26">
        <v>37.0</v>
      </c>
      <c r="AN76" s="26">
        <v>37.0</v>
      </c>
      <c r="AO76" s="26">
        <v>37.0</v>
      </c>
      <c r="AP76" s="26">
        <v>37.0</v>
      </c>
      <c r="AQ76" s="26">
        <v>37.0</v>
      </c>
      <c r="AR76" s="26">
        <v>37.0</v>
      </c>
      <c r="AS76" s="25">
        <v>37.0</v>
      </c>
      <c r="AT76" s="26">
        <v>48.0</v>
      </c>
      <c r="AU76" s="27">
        <v>48.0</v>
      </c>
    </row>
    <row r="77">
      <c r="B77" s="24">
        <v>37.0</v>
      </c>
      <c r="C77" s="25" t="s">
        <v>65</v>
      </c>
      <c r="D77" s="25">
        <v>1.0</v>
      </c>
      <c r="E77" s="25">
        <v>0.0</v>
      </c>
      <c r="F77" s="26">
        <v>67.0</v>
      </c>
      <c r="G77" s="26">
        <v>67.0</v>
      </c>
      <c r="H77" s="26">
        <v>67.0</v>
      </c>
      <c r="I77" s="26">
        <v>67.0</v>
      </c>
      <c r="J77" s="26">
        <v>67.0</v>
      </c>
      <c r="K77" s="26">
        <v>67.0</v>
      </c>
      <c r="L77" s="26">
        <v>67.0</v>
      </c>
      <c r="M77" s="26">
        <v>67.0</v>
      </c>
      <c r="N77" s="26">
        <v>67.0</v>
      </c>
      <c r="O77" s="26">
        <v>67.0</v>
      </c>
      <c r="P77" s="26">
        <v>67.0</v>
      </c>
      <c r="Q77" s="26">
        <v>67.0</v>
      </c>
      <c r="R77" s="26">
        <v>67.0</v>
      </c>
      <c r="S77" s="26">
        <v>67.0</v>
      </c>
      <c r="T77" s="26">
        <v>67.0</v>
      </c>
      <c r="U77" s="26">
        <v>67.0</v>
      </c>
      <c r="V77" s="26">
        <v>67.0</v>
      </c>
      <c r="W77" s="26">
        <v>67.0</v>
      </c>
      <c r="X77" s="26">
        <v>67.0</v>
      </c>
      <c r="Y77" s="25">
        <v>67.0</v>
      </c>
      <c r="Z77" s="26">
        <v>37.0</v>
      </c>
      <c r="AA77" s="26">
        <v>37.0</v>
      </c>
      <c r="AB77" s="26">
        <v>37.0</v>
      </c>
      <c r="AC77" s="26">
        <v>37.0</v>
      </c>
      <c r="AD77" s="26">
        <v>37.0</v>
      </c>
      <c r="AE77" s="26">
        <v>37.0</v>
      </c>
      <c r="AF77" s="26">
        <v>37.0</v>
      </c>
      <c r="AG77" s="26">
        <v>37.0</v>
      </c>
      <c r="AH77" s="26">
        <v>37.0</v>
      </c>
      <c r="AI77" s="26">
        <v>37.0</v>
      </c>
      <c r="AJ77" s="26">
        <v>37.0</v>
      </c>
      <c r="AK77" s="26">
        <v>37.0</v>
      </c>
      <c r="AL77" s="26">
        <v>37.0</v>
      </c>
      <c r="AM77" s="26">
        <v>37.0</v>
      </c>
      <c r="AN77" s="26">
        <v>37.0</v>
      </c>
      <c r="AO77" s="26">
        <v>37.0</v>
      </c>
      <c r="AP77" s="26">
        <v>37.0</v>
      </c>
      <c r="AQ77" s="26">
        <v>37.0</v>
      </c>
      <c r="AR77" s="26">
        <v>37.0</v>
      </c>
      <c r="AS77" s="25">
        <v>37.0</v>
      </c>
      <c r="AT77" s="26">
        <v>48.0</v>
      </c>
      <c r="AU77" s="27">
        <v>48.0</v>
      </c>
    </row>
    <row r="78">
      <c r="B78" s="24">
        <v>38.0</v>
      </c>
      <c r="C78" s="25" t="s">
        <v>66</v>
      </c>
      <c r="D78" s="25">
        <v>1.0</v>
      </c>
      <c r="E78" s="25">
        <v>1.0</v>
      </c>
      <c r="F78" s="26">
        <v>68.0</v>
      </c>
      <c r="G78" s="26">
        <v>68.0</v>
      </c>
      <c r="H78" s="26">
        <v>68.0</v>
      </c>
      <c r="I78" s="26">
        <v>68.0</v>
      </c>
      <c r="J78" s="26">
        <v>68.0</v>
      </c>
      <c r="K78" s="26">
        <v>68.0</v>
      </c>
      <c r="L78" s="26">
        <v>48.0</v>
      </c>
      <c r="M78" s="26">
        <v>68.0</v>
      </c>
      <c r="N78" s="26">
        <v>68.0</v>
      </c>
      <c r="O78" s="26">
        <v>68.0</v>
      </c>
      <c r="P78" s="26">
        <v>68.0</v>
      </c>
      <c r="Q78" s="26">
        <v>68.0</v>
      </c>
      <c r="R78" s="26">
        <v>48.0</v>
      </c>
      <c r="S78" s="26">
        <v>68.0</v>
      </c>
      <c r="T78" s="26">
        <v>68.0</v>
      </c>
      <c r="U78" s="26">
        <v>68.0</v>
      </c>
      <c r="V78" s="26">
        <v>68.0</v>
      </c>
      <c r="W78" s="26">
        <v>68.0</v>
      </c>
      <c r="X78" s="26">
        <v>68.0</v>
      </c>
      <c r="Y78" s="25">
        <v>68.0</v>
      </c>
      <c r="Z78" s="26">
        <v>35.0</v>
      </c>
      <c r="AA78" s="26">
        <v>35.0</v>
      </c>
      <c r="AB78" s="26">
        <v>35.0</v>
      </c>
      <c r="AC78" s="26">
        <v>35.0</v>
      </c>
      <c r="AD78" s="26">
        <v>35.0</v>
      </c>
      <c r="AE78" s="26">
        <v>35.0</v>
      </c>
      <c r="AF78" s="26">
        <v>35.0</v>
      </c>
      <c r="AG78" s="26">
        <v>35.0</v>
      </c>
      <c r="AH78" s="26">
        <v>35.0</v>
      </c>
      <c r="AI78" s="26">
        <v>35.0</v>
      </c>
      <c r="AJ78" s="26">
        <v>35.0</v>
      </c>
      <c r="AK78" s="26">
        <v>35.0</v>
      </c>
      <c r="AL78" s="26">
        <v>35.0</v>
      </c>
      <c r="AM78" s="26">
        <v>35.0</v>
      </c>
      <c r="AN78" s="26">
        <v>35.0</v>
      </c>
      <c r="AO78" s="26">
        <v>35.0</v>
      </c>
      <c r="AP78" s="26">
        <v>35.0</v>
      </c>
      <c r="AQ78" s="26">
        <v>35.0</v>
      </c>
      <c r="AR78" s="26">
        <v>35.0</v>
      </c>
      <c r="AS78" s="25">
        <v>35.0</v>
      </c>
      <c r="AT78" s="26">
        <v>48.0</v>
      </c>
      <c r="AU78" s="27">
        <v>48.0</v>
      </c>
    </row>
    <row r="79">
      <c r="B79" s="24">
        <v>39.0</v>
      </c>
      <c r="C79" s="25" t="s">
        <v>67</v>
      </c>
      <c r="D79" s="25">
        <v>1.0</v>
      </c>
      <c r="E79" s="25">
        <v>1.0</v>
      </c>
      <c r="F79" s="26">
        <v>69.0</v>
      </c>
      <c r="G79" s="26">
        <v>69.0</v>
      </c>
      <c r="H79" s="26">
        <v>69.0</v>
      </c>
      <c r="I79" s="26">
        <v>69.0</v>
      </c>
      <c r="J79" s="26">
        <v>69.0</v>
      </c>
      <c r="K79" s="26">
        <v>69.0</v>
      </c>
      <c r="L79" s="26">
        <v>64.0</v>
      </c>
      <c r="M79" s="26">
        <v>69.0</v>
      </c>
      <c r="N79" s="26">
        <v>69.0</v>
      </c>
      <c r="O79" s="26">
        <v>69.0</v>
      </c>
      <c r="P79" s="26">
        <v>69.0</v>
      </c>
      <c r="Q79" s="26">
        <v>69.0</v>
      </c>
      <c r="R79" s="26">
        <v>64.0</v>
      </c>
      <c r="S79" s="26">
        <v>69.0</v>
      </c>
      <c r="T79" s="26">
        <v>69.0</v>
      </c>
      <c r="U79" s="26">
        <v>69.0</v>
      </c>
      <c r="V79" s="26">
        <v>69.0</v>
      </c>
      <c r="W79" s="26">
        <v>69.0</v>
      </c>
      <c r="X79" s="26">
        <v>69.0</v>
      </c>
      <c r="Y79" s="25">
        <v>69.0</v>
      </c>
      <c r="Z79" s="26">
        <v>35.0</v>
      </c>
      <c r="AA79" s="26">
        <v>35.0</v>
      </c>
      <c r="AB79" s="26">
        <v>35.0</v>
      </c>
      <c r="AC79" s="26">
        <v>35.0</v>
      </c>
      <c r="AD79" s="26">
        <v>35.0</v>
      </c>
      <c r="AE79" s="26">
        <v>35.0</v>
      </c>
      <c r="AF79" s="26">
        <v>36.0</v>
      </c>
      <c r="AG79" s="26">
        <v>35.0</v>
      </c>
      <c r="AH79" s="26">
        <v>35.0</v>
      </c>
      <c r="AI79" s="26">
        <v>35.0</v>
      </c>
      <c r="AJ79" s="26">
        <v>35.0</v>
      </c>
      <c r="AK79" s="26">
        <v>35.0</v>
      </c>
      <c r="AL79" s="26">
        <v>36.0</v>
      </c>
      <c r="AM79" s="26">
        <v>35.0</v>
      </c>
      <c r="AN79" s="26">
        <v>35.0</v>
      </c>
      <c r="AO79" s="26">
        <v>35.0</v>
      </c>
      <c r="AP79" s="26">
        <v>35.0</v>
      </c>
      <c r="AQ79" s="26">
        <v>35.0</v>
      </c>
      <c r="AR79" s="26">
        <v>35.0</v>
      </c>
      <c r="AS79" s="25">
        <v>35.0</v>
      </c>
      <c r="AT79" s="26">
        <v>48.0</v>
      </c>
      <c r="AU79" s="27">
        <v>48.0</v>
      </c>
    </row>
    <row r="80">
      <c r="B80" s="24">
        <v>40.0</v>
      </c>
      <c r="C80" s="25" t="s">
        <v>68</v>
      </c>
      <c r="D80" s="25">
        <v>1.0</v>
      </c>
      <c r="E80" s="25">
        <v>1.0</v>
      </c>
      <c r="F80" s="26">
        <v>70.0</v>
      </c>
      <c r="G80" s="26">
        <v>70.0</v>
      </c>
      <c r="H80" s="26">
        <v>70.0</v>
      </c>
      <c r="I80" s="26">
        <v>70.0</v>
      </c>
      <c r="J80" s="26">
        <v>70.0</v>
      </c>
      <c r="K80" s="26">
        <v>70.0</v>
      </c>
      <c r="L80" s="26">
        <v>70.0</v>
      </c>
      <c r="M80" s="26">
        <v>70.0</v>
      </c>
      <c r="N80" s="26">
        <v>70.0</v>
      </c>
      <c r="O80" s="26">
        <v>70.0</v>
      </c>
      <c r="P80" s="26">
        <v>70.0</v>
      </c>
      <c r="Q80" s="26">
        <v>70.0</v>
      </c>
      <c r="R80" s="26">
        <v>70.0</v>
      </c>
      <c r="S80" s="26">
        <v>70.0</v>
      </c>
      <c r="T80" s="26">
        <v>70.0</v>
      </c>
      <c r="U80" s="26">
        <v>70.0</v>
      </c>
      <c r="V80" s="26">
        <v>70.0</v>
      </c>
      <c r="W80" s="26">
        <v>70.0</v>
      </c>
      <c r="X80" s="26">
        <v>70.0</v>
      </c>
      <c r="Y80" s="25">
        <v>70.0</v>
      </c>
      <c r="Z80" s="26">
        <v>35.0</v>
      </c>
      <c r="AA80" s="26">
        <v>35.0</v>
      </c>
      <c r="AB80" s="26">
        <v>35.0</v>
      </c>
      <c r="AC80" s="26">
        <v>35.0</v>
      </c>
      <c r="AD80" s="26">
        <v>35.0</v>
      </c>
      <c r="AE80" s="26">
        <v>35.0</v>
      </c>
      <c r="AF80" s="26">
        <v>35.0</v>
      </c>
      <c r="AG80" s="26">
        <v>35.0</v>
      </c>
      <c r="AH80" s="26">
        <v>35.0</v>
      </c>
      <c r="AI80" s="26">
        <v>35.0</v>
      </c>
      <c r="AJ80" s="26">
        <v>35.0</v>
      </c>
      <c r="AK80" s="26">
        <v>35.0</v>
      </c>
      <c r="AL80" s="26">
        <v>35.0</v>
      </c>
      <c r="AM80" s="26">
        <v>35.0</v>
      </c>
      <c r="AN80" s="26">
        <v>35.0</v>
      </c>
      <c r="AO80" s="26">
        <v>35.0</v>
      </c>
      <c r="AP80" s="26">
        <v>35.0</v>
      </c>
      <c r="AQ80" s="26">
        <v>35.0</v>
      </c>
      <c r="AR80" s="26">
        <v>35.0</v>
      </c>
      <c r="AS80" s="25">
        <v>38.0</v>
      </c>
      <c r="AT80" s="26">
        <v>48.0</v>
      </c>
      <c r="AU80" s="27">
        <v>48.0</v>
      </c>
    </row>
    <row r="81">
      <c r="B81" s="24">
        <v>41.0</v>
      </c>
      <c r="C81" s="25" t="s">
        <v>69</v>
      </c>
      <c r="D81" s="25">
        <v>0.0</v>
      </c>
      <c r="E81" s="25">
        <v>0.0</v>
      </c>
      <c r="F81" s="26">
        <v>71.0</v>
      </c>
      <c r="G81" s="26">
        <v>71.0</v>
      </c>
      <c r="H81" s="26">
        <v>71.0</v>
      </c>
      <c r="I81" s="26">
        <v>71.0</v>
      </c>
      <c r="J81" s="26">
        <v>71.0</v>
      </c>
      <c r="K81" s="26">
        <v>71.0</v>
      </c>
      <c r="L81" s="26">
        <v>71.0</v>
      </c>
      <c r="M81" s="26">
        <v>71.0</v>
      </c>
      <c r="N81" s="26">
        <v>71.0</v>
      </c>
      <c r="O81" s="26">
        <v>71.0</v>
      </c>
      <c r="P81" s="26">
        <v>71.0</v>
      </c>
      <c r="Q81" s="26">
        <v>71.0</v>
      </c>
      <c r="R81" s="26">
        <v>71.0</v>
      </c>
      <c r="S81" s="26">
        <v>71.0</v>
      </c>
      <c r="T81" s="26">
        <v>71.0</v>
      </c>
      <c r="U81" s="26">
        <v>71.0</v>
      </c>
      <c r="V81" s="26">
        <v>71.0</v>
      </c>
      <c r="W81" s="26">
        <v>71.0</v>
      </c>
      <c r="X81" s="26">
        <v>71.0</v>
      </c>
      <c r="Y81" s="25">
        <v>71.0</v>
      </c>
      <c r="Z81" s="26">
        <v>38.0</v>
      </c>
      <c r="AA81" s="26">
        <v>38.0</v>
      </c>
      <c r="AB81" s="26">
        <v>38.0</v>
      </c>
      <c r="AC81" s="26">
        <v>38.0</v>
      </c>
      <c r="AD81" s="26">
        <v>38.0</v>
      </c>
      <c r="AE81" s="26">
        <v>38.0</v>
      </c>
      <c r="AF81" s="26">
        <v>38.0</v>
      </c>
      <c r="AG81" s="26">
        <v>38.0</v>
      </c>
      <c r="AH81" s="26">
        <v>38.0</v>
      </c>
      <c r="AI81" s="26">
        <v>38.0</v>
      </c>
      <c r="AJ81" s="26">
        <v>38.0</v>
      </c>
      <c r="AK81" s="26">
        <v>38.0</v>
      </c>
      <c r="AL81" s="26">
        <v>38.0</v>
      </c>
      <c r="AM81" s="26">
        <v>38.0</v>
      </c>
      <c r="AN81" s="26">
        <v>38.0</v>
      </c>
      <c r="AO81" s="26">
        <v>38.0</v>
      </c>
      <c r="AP81" s="26">
        <v>38.0</v>
      </c>
      <c r="AQ81" s="26">
        <v>38.0</v>
      </c>
      <c r="AR81" s="26">
        <v>38.0</v>
      </c>
      <c r="AS81" s="25">
        <v>38.0</v>
      </c>
      <c r="AT81" s="26">
        <v>48.0</v>
      </c>
      <c r="AU81" s="27">
        <v>48.0</v>
      </c>
    </row>
    <row r="82">
      <c r="B82" s="24">
        <v>42.0</v>
      </c>
      <c r="C82" s="25" t="s">
        <v>70</v>
      </c>
      <c r="D82" s="25">
        <v>1.0</v>
      </c>
      <c r="E82" s="25">
        <v>0.0</v>
      </c>
      <c r="F82" s="26">
        <v>72.0</v>
      </c>
      <c r="G82" s="26">
        <v>72.0</v>
      </c>
      <c r="H82" s="26">
        <v>72.0</v>
      </c>
      <c r="I82" s="26">
        <v>72.0</v>
      </c>
      <c r="J82" s="26">
        <v>72.0</v>
      </c>
      <c r="K82" s="26">
        <v>72.0</v>
      </c>
      <c r="L82" s="26">
        <v>72.0</v>
      </c>
      <c r="M82" s="26">
        <v>72.0</v>
      </c>
      <c r="N82" s="26">
        <v>72.0</v>
      </c>
      <c r="O82" s="26">
        <v>72.0</v>
      </c>
      <c r="P82" s="26">
        <v>72.0</v>
      </c>
      <c r="Q82" s="26">
        <v>72.0</v>
      </c>
      <c r="R82" s="26">
        <v>72.0</v>
      </c>
      <c r="S82" s="26">
        <v>72.0</v>
      </c>
      <c r="T82" s="26">
        <v>72.0</v>
      </c>
      <c r="U82" s="26">
        <v>72.0</v>
      </c>
      <c r="V82" s="26">
        <v>72.0</v>
      </c>
      <c r="W82" s="26">
        <v>72.0</v>
      </c>
      <c r="X82" s="26">
        <v>72.0</v>
      </c>
      <c r="Y82" s="25">
        <v>72.0</v>
      </c>
      <c r="Z82" s="26">
        <v>38.0</v>
      </c>
      <c r="AA82" s="26">
        <v>38.0</v>
      </c>
      <c r="AB82" s="26">
        <v>38.0</v>
      </c>
      <c r="AC82" s="26">
        <v>38.0</v>
      </c>
      <c r="AD82" s="26">
        <v>38.0</v>
      </c>
      <c r="AE82" s="26">
        <v>38.0</v>
      </c>
      <c r="AF82" s="26">
        <v>38.0</v>
      </c>
      <c r="AG82" s="26">
        <v>38.0</v>
      </c>
      <c r="AH82" s="26">
        <v>38.0</v>
      </c>
      <c r="AI82" s="26">
        <v>38.0</v>
      </c>
      <c r="AJ82" s="26">
        <v>38.0</v>
      </c>
      <c r="AK82" s="26">
        <v>38.0</v>
      </c>
      <c r="AL82" s="26">
        <v>38.0</v>
      </c>
      <c r="AM82" s="26">
        <v>38.0</v>
      </c>
      <c r="AN82" s="26">
        <v>38.0</v>
      </c>
      <c r="AO82" s="26">
        <v>38.0</v>
      </c>
      <c r="AP82" s="26">
        <v>38.0</v>
      </c>
      <c r="AQ82" s="26">
        <v>38.0</v>
      </c>
      <c r="AR82" s="26">
        <v>38.0</v>
      </c>
      <c r="AS82" s="25">
        <v>38.0</v>
      </c>
      <c r="AT82" s="26">
        <v>48.0</v>
      </c>
      <c r="AU82" s="27">
        <v>48.0</v>
      </c>
    </row>
    <row r="83">
      <c r="B83" s="24">
        <v>43.0</v>
      </c>
      <c r="C83" s="25" t="s">
        <v>71</v>
      </c>
      <c r="D83" s="25">
        <v>1.0</v>
      </c>
      <c r="E83" s="25">
        <v>0.0</v>
      </c>
      <c r="F83" s="26">
        <v>73.0</v>
      </c>
      <c r="G83" s="26">
        <v>73.0</v>
      </c>
      <c r="H83" s="26">
        <v>73.0</v>
      </c>
      <c r="I83" s="26">
        <v>73.0</v>
      </c>
      <c r="J83" s="26">
        <v>73.0</v>
      </c>
      <c r="K83" s="26">
        <v>73.0</v>
      </c>
      <c r="L83" s="26">
        <v>73.0</v>
      </c>
      <c r="M83" s="26">
        <v>73.0</v>
      </c>
      <c r="N83" s="26">
        <v>73.0</v>
      </c>
      <c r="O83" s="26">
        <v>73.0</v>
      </c>
      <c r="P83" s="26">
        <v>73.0</v>
      </c>
      <c r="Q83" s="26">
        <v>73.0</v>
      </c>
      <c r="R83" s="26">
        <v>73.0</v>
      </c>
      <c r="S83" s="26">
        <v>73.0</v>
      </c>
      <c r="T83" s="26">
        <v>73.0</v>
      </c>
      <c r="U83" s="26">
        <v>73.0</v>
      </c>
      <c r="V83" s="26">
        <v>73.0</v>
      </c>
      <c r="W83" s="26">
        <v>73.0</v>
      </c>
      <c r="X83" s="26">
        <v>73.0</v>
      </c>
      <c r="Y83" s="25">
        <v>73.0</v>
      </c>
      <c r="Z83" s="26">
        <v>35.0</v>
      </c>
      <c r="AA83" s="26">
        <v>35.0</v>
      </c>
      <c r="AB83" s="26">
        <v>35.0</v>
      </c>
      <c r="AC83" s="26">
        <v>35.0</v>
      </c>
      <c r="AD83" s="26">
        <v>35.0</v>
      </c>
      <c r="AE83" s="26">
        <v>35.0</v>
      </c>
      <c r="AF83" s="26">
        <v>35.0</v>
      </c>
      <c r="AG83" s="26">
        <v>35.0</v>
      </c>
      <c r="AH83" s="26">
        <v>35.0</v>
      </c>
      <c r="AI83" s="26">
        <v>35.0</v>
      </c>
      <c r="AJ83" s="26">
        <v>35.0</v>
      </c>
      <c r="AK83" s="26">
        <v>35.0</v>
      </c>
      <c r="AL83" s="26">
        <v>35.0</v>
      </c>
      <c r="AM83" s="26">
        <v>35.0</v>
      </c>
      <c r="AN83" s="26">
        <v>35.0</v>
      </c>
      <c r="AO83" s="26">
        <v>35.0</v>
      </c>
      <c r="AP83" s="26">
        <v>35.0</v>
      </c>
      <c r="AQ83" s="26">
        <v>35.0</v>
      </c>
      <c r="AR83" s="26">
        <v>35.0</v>
      </c>
      <c r="AS83" s="25">
        <v>35.0</v>
      </c>
      <c r="AT83" s="26">
        <v>48.0</v>
      </c>
      <c r="AU83" s="27">
        <v>48.0</v>
      </c>
    </row>
    <row r="84">
      <c r="B84" s="24">
        <v>44.0</v>
      </c>
      <c r="C84" s="25" t="s">
        <v>72</v>
      </c>
      <c r="D84" s="25">
        <v>1.0</v>
      </c>
      <c r="E84" s="25">
        <v>0.0</v>
      </c>
      <c r="F84" s="26">
        <v>74.0</v>
      </c>
      <c r="G84" s="26">
        <v>74.0</v>
      </c>
      <c r="H84" s="26">
        <v>74.0</v>
      </c>
      <c r="I84" s="26">
        <v>74.0</v>
      </c>
      <c r="J84" s="26">
        <v>74.0</v>
      </c>
      <c r="K84" s="26">
        <v>74.0</v>
      </c>
      <c r="L84" s="26">
        <v>74.0</v>
      </c>
      <c r="M84" s="26">
        <v>74.0</v>
      </c>
      <c r="N84" s="26">
        <v>74.0</v>
      </c>
      <c r="O84" s="26">
        <v>74.0</v>
      </c>
      <c r="P84" s="26">
        <v>74.0</v>
      </c>
      <c r="Q84" s="26">
        <v>74.0</v>
      </c>
      <c r="R84" s="26">
        <v>74.0</v>
      </c>
      <c r="S84" s="26">
        <v>74.0</v>
      </c>
      <c r="T84" s="26">
        <v>74.0</v>
      </c>
      <c r="U84" s="26">
        <v>74.0</v>
      </c>
      <c r="V84" s="26">
        <v>74.0</v>
      </c>
      <c r="W84" s="26">
        <v>74.0</v>
      </c>
      <c r="X84" s="26">
        <v>74.0</v>
      </c>
      <c r="Y84" s="25">
        <v>74.0</v>
      </c>
      <c r="Z84" s="26">
        <v>35.0</v>
      </c>
      <c r="AA84" s="26">
        <v>35.0</v>
      </c>
      <c r="AB84" s="26">
        <v>35.0</v>
      </c>
      <c r="AC84" s="26">
        <v>35.0</v>
      </c>
      <c r="AD84" s="26">
        <v>35.0</v>
      </c>
      <c r="AE84" s="26">
        <v>35.0</v>
      </c>
      <c r="AF84" s="26">
        <v>35.0</v>
      </c>
      <c r="AG84" s="26">
        <v>35.0</v>
      </c>
      <c r="AH84" s="26">
        <v>35.0</v>
      </c>
      <c r="AI84" s="26">
        <v>35.0</v>
      </c>
      <c r="AJ84" s="26">
        <v>35.0</v>
      </c>
      <c r="AK84" s="26">
        <v>35.0</v>
      </c>
      <c r="AL84" s="26">
        <v>35.0</v>
      </c>
      <c r="AM84" s="26">
        <v>35.0</v>
      </c>
      <c r="AN84" s="26">
        <v>35.0</v>
      </c>
      <c r="AO84" s="26">
        <v>35.0</v>
      </c>
      <c r="AP84" s="26">
        <v>35.0</v>
      </c>
      <c r="AQ84" s="26">
        <v>35.0</v>
      </c>
      <c r="AR84" s="26">
        <v>35.0</v>
      </c>
      <c r="AS84" s="25">
        <v>35.0</v>
      </c>
      <c r="AT84" s="26">
        <v>48.0</v>
      </c>
      <c r="AU84" s="27">
        <v>48.0</v>
      </c>
    </row>
    <row r="85">
      <c r="B85" s="24">
        <v>45.0</v>
      </c>
      <c r="C85" s="25" t="s">
        <v>73</v>
      </c>
      <c r="D85" s="25">
        <v>0.0</v>
      </c>
      <c r="E85" s="25">
        <v>0.0</v>
      </c>
      <c r="F85" s="26">
        <v>75.0</v>
      </c>
      <c r="G85" s="26">
        <v>75.0</v>
      </c>
      <c r="H85" s="26">
        <v>75.0</v>
      </c>
      <c r="I85" s="26">
        <v>75.0</v>
      </c>
      <c r="J85" s="26">
        <v>75.0</v>
      </c>
      <c r="K85" s="26">
        <v>75.0</v>
      </c>
      <c r="L85" s="26">
        <v>76.0</v>
      </c>
      <c r="M85" s="26">
        <v>75.0</v>
      </c>
      <c r="N85" s="26">
        <v>75.0</v>
      </c>
      <c r="O85" s="26">
        <v>75.0</v>
      </c>
      <c r="P85" s="26">
        <v>75.0</v>
      </c>
      <c r="Q85" s="26">
        <v>75.0</v>
      </c>
      <c r="R85" s="26">
        <v>76.0</v>
      </c>
      <c r="S85" s="26">
        <v>75.0</v>
      </c>
      <c r="T85" s="26">
        <v>75.0</v>
      </c>
      <c r="U85" s="26">
        <v>75.0</v>
      </c>
      <c r="V85" s="26">
        <v>75.0</v>
      </c>
      <c r="W85" s="26">
        <v>75.0</v>
      </c>
      <c r="X85" s="26">
        <v>75.0</v>
      </c>
      <c r="Y85" s="25">
        <v>75.0</v>
      </c>
      <c r="Z85" s="26">
        <v>35.0</v>
      </c>
      <c r="AA85" s="26">
        <v>35.0</v>
      </c>
      <c r="AB85" s="26">
        <v>35.0</v>
      </c>
      <c r="AC85" s="26">
        <v>35.0</v>
      </c>
      <c r="AD85" s="26">
        <v>35.0</v>
      </c>
      <c r="AE85" s="26">
        <v>35.0</v>
      </c>
      <c r="AF85" s="26">
        <v>36.0</v>
      </c>
      <c r="AG85" s="26">
        <v>35.0</v>
      </c>
      <c r="AH85" s="26">
        <v>35.0</v>
      </c>
      <c r="AI85" s="26">
        <v>35.0</v>
      </c>
      <c r="AJ85" s="26">
        <v>35.0</v>
      </c>
      <c r="AK85" s="26">
        <v>35.0</v>
      </c>
      <c r="AL85" s="26">
        <v>36.0</v>
      </c>
      <c r="AM85" s="26">
        <v>35.0</v>
      </c>
      <c r="AN85" s="26">
        <v>35.0</v>
      </c>
      <c r="AO85" s="26">
        <v>35.0</v>
      </c>
      <c r="AP85" s="26">
        <v>35.0</v>
      </c>
      <c r="AQ85" s="26">
        <v>35.0</v>
      </c>
      <c r="AR85" s="26">
        <v>35.0</v>
      </c>
      <c r="AS85" s="25">
        <v>35.0</v>
      </c>
      <c r="AT85" s="26">
        <v>48.0</v>
      </c>
      <c r="AU85" s="27">
        <v>48.0</v>
      </c>
    </row>
    <row r="86">
      <c r="B86" s="24">
        <v>46.0</v>
      </c>
      <c r="C86" s="25" t="s">
        <v>74</v>
      </c>
      <c r="D86" s="25">
        <v>0.0</v>
      </c>
      <c r="E86" s="25">
        <v>0.0</v>
      </c>
      <c r="F86" s="26">
        <v>77.0</v>
      </c>
      <c r="G86" s="26">
        <v>77.0</v>
      </c>
      <c r="H86" s="26">
        <v>77.0</v>
      </c>
      <c r="I86" s="26">
        <v>77.0</v>
      </c>
      <c r="J86" s="26">
        <v>77.0</v>
      </c>
      <c r="K86" s="26">
        <v>77.0</v>
      </c>
      <c r="L86" s="26">
        <v>77.0</v>
      </c>
      <c r="M86" s="26">
        <v>77.0</v>
      </c>
      <c r="N86" s="26">
        <v>77.0</v>
      </c>
      <c r="O86" s="26">
        <v>77.0</v>
      </c>
      <c r="P86" s="26">
        <v>77.0</v>
      </c>
      <c r="Q86" s="26">
        <v>77.0</v>
      </c>
      <c r="R86" s="26">
        <v>77.0</v>
      </c>
      <c r="S86" s="26">
        <v>77.0</v>
      </c>
      <c r="T86" s="26">
        <v>77.0</v>
      </c>
      <c r="U86" s="26">
        <v>77.0</v>
      </c>
      <c r="V86" s="26">
        <v>77.0</v>
      </c>
      <c r="W86" s="26">
        <v>77.0</v>
      </c>
      <c r="X86" s="26">
        <v>77.0</v>
      </c>
      <c r="Y86" s="25">
        <v>77.0</v>
      </c>
      <c r="Z86" s="26">
        <v>35.0</v>
      </c>
      <c r="AA86" s="26">
        <v>35.0</v>
      </c>
      <c r="AB86" s="26">
        <v>35.0</v>
      </c>
      <c r="AC86" s="26">
        <v>35.0</v>
      </c>
      <c r="AD86" s="26">
        <v>35.0</v>
      </c>
      <c r="AE86" s="26">
        <v>35.0</v>
      </c>
      <c r="AF86" s="26">
        <v>35.0</v>
      </c>
      <c r="AG86" s="26">
        <v>35.0</v>
      </c>
      <c r="AH86" s="26">
        <v>35.0</v>
      </c>
      <c r="AI86" s="26">
        <v>35.0</v>
      </c>
      <c r="AJ86" s="26">
        <v>35.0</v>
      </c>
      <c r="AK86" s="26">
        <v>35.0</v>
      </c>
      <c r="AL86" s="26">
        <v>35.0</v>
      </c>
      <c r="AM86" s="26">
        <v>35.0</v>
      </c>
      <c r="AN86" s="26">
        <v>35.0</v>
      </c>
      <c r="AO86" s="26">
        <v>35.0</v>
      </c>
      <c r="AP86" s="26">
        <v>35.0</v>
      </c>
      <c r="AQ86" s="26">
        <v>35.0</v>
      </c>
      <c r="AR86" s="26">
        <v>35.0</v>
      </c>
      <c r="AS86" s="25">
        <v>35.0</v>
      </c>
      <c r="AT86" s="26">
        <v>48.0</v>
      </c>
      <c r="AU86" s="27">
        <v>48.0</v>
      </c>
    </row>
    <row r="87">
      <c r="B87" s="24">
        <v>47.0</v>
      </c>
      <c r="C87" s="25" t="s">
        <v>75</v>
      </c>
      <c r="D87" s="25">
        <v>1.0</v>
      </c>
      <c r="E87" s="25">
        <v>1.0</v>
      </c>
      <c r="F87" s="26">
        <v>78.0</v>
      </c>
      <c r="G87" s="26">
        <v>78.0</v>
      </c>
      <c r="H87" s="26">
        <v>78.0</v>
      </c>
      <c r="I87" s="26">
        <v>78.0</v>
      </c>
      <c r="J87" s="26">
        <v>78.0</v>
      </c>
      <c r="K87" s="26">
        <v>78.0</v>
      </c>
      <c r="L87" s="26">
        <v>78.0</v>
      </c>
      <c r="M87" s="26">
        <v>78.0</v>
      </c>
      <c r="N87" s="26">
        <v>78.0</v>
      </c>
      <c r="O87" s="26">
        <v>78.0</v>
      </c>
      <c r="P87" s="26">
        <v>78.0</v>
      </c>
      <c r="Q87" s="26">
        <v>78.0</v>
      </c>
      <c r="R87" s="26">
        <v>78.0</v>
      </c>
      <c r="S87" s="26">
        <v>78.0</v>
      </c>
      <c r="T87" s="26">
        <v>78.0</v>
      </c>
      <c r="U87" s="26">
        <v>78.0</v>
      </c>
      <c r="V87" s="26">
        <v>78.0</v>
      </c>
      <c r="W87" s="26">
        <v>78.0</v>
      </c>
      <c r="X87" s="26">
        <v>78.0</v>
      </c>
      <c r="Y87" s="25">
        <v>78.0</v>
      </c>
      <c r="Z87" s="26">
        <v>35.0</v>
      </c>
      <c r="AA87" s="26">
        <v>35.0</v>
      </c>
      <c r="AB87" s="26">
        <v>35.0</v>
      </c>
      <c r="AC87" s="26">
        <v>35.0</v>
      </c>
      <c r="AD87" s="26">
        <v>35.0</v>
      </c>
      <c r="AE87" s="26">
        <v>35.0</v>
      </c>
      <c r="AF87" s="26">
        <v>35.0</v>
      </c>
      <c r="AG87" s="26">
        <v>35.0</v>
      </c>
      <c r="AH87" s="26">
        <v>35.0</v>
      </c>
      <c r="AI87" s="26">
        <v>35.0</v>
      </c>
      <c r="AJ87" s="26">
        <v>35.0</v>
      </c>
      <c r="AK87" s="26">
        <v>35.0</v>
      </c>
      <c r="AL87" s="26">
        <v>35.0</v>
      </c>
      <c r="AM87" s="26">
        <v>35.0</v>
      </c>
      <c r="AN87" s="26">
        <v>35.0</v>
      </c>
      <c r="AO87" s="26">
        <v>35.0</v>
      </c>
      <c r="AP87" s="26">
        <v>35.0</v>
      </c>
      <c r="AQ87" s="26">
        <v>35.0</v>
      </c>
      <c r="AR87" s="26">
        <v>35.0</v>
      </c>
      <c r="AS87" s="25">
        <v>35.0</v>
      </c>
      <c r="AT87" s="26">
        <v>48.0</v>
      </c>
      <c r="AU87" s="27">
        <v>48.0</v>
      </c>
    </row>
    <row r="88">
      <c r="B88" s="24">
        <v>48.0</v>
      </c>
      <c r="C88" s="25" t="s">
        <v>76</v>
      </c>
      <c r="D88" s="25">
        <v>1.0</v>
      </c>
      <c r="E88" s="25">
        <v>0.0</v>
      </c>
      <c r="F88" s="26">
        <v>79.0</v>
      </c>
      <c r="G88" s="26">
        <v>79.0</v>
      </c>
      <c r="H88" s="26">
        <v>79.0</v>
      </c>
      <c r="I88" s="26">
        <v>79.0</v>
      </c>
      <c r="J88" s="26">
        <v>79.0</v>
      </c>
      <c r="K88" s="26">
        <v>79.0</v>
      </c>
      <c r="L88" s="26">
        <v>80.0</v>
      </c>
      <c r="M88" s="26">
        <v>79.0</v>
      </c>
      <c r="N88" s="26">
        <v>79.0</v>
      </c>
      <c r="O88" s="26">
        <v>79.0</v>
      </c>
      <c r="P88" s="26">
        <v>79.0</v>
      </c>
      <c r="Q88" s="26">
        <v>79.0</v>
      </c>
      <c r="R88" s="26">
        <v>80.0</v>
      </c>
      <c r="S88" s="26">
        <v>79.0</v>
      </c>
      <c r="T88" s="26">
        <v>79.0</v>
      </c>
      <c r="U88" s="26">
        <v>79.0</v>
      </c>
      <c r="V88" s="26">
        <v>79.0</v>
      </c>
      <c r="W88" s="26">
        <v>79.0</v>
      </c>
      <c r="X88" s="26">
        <v>79.0</v>
      </c>
      <c r="Y88" s="25">
        <v>79.0</v>
      </c>
      <c r="Z88" s="26">
        <v>35.0</v>
      </c>
      <c r="AA88" s="26">
        <v>35.0</v>
      </c>
      <c r="AB88" s="26">
        <v>35.0</v>
      </c>
      <c r="AC88" s="26">
        <v>35.0</v>
      </c>
      <c r="AD88" s="26">
        <v>35.0</v>
      </c>
      <c r="AE88" s="26">
        <v>35.0</v>
      </c>
      <c r="AF88" s="26">
        <v>36.0</v>
      </c>
      <c r="AG88" s="26">
        <v>35.0</v>
      </c>
      <c r="AH88" s="26">
        <v>35.0</v>
      </c>
      <c r="AI88" s="26">
        <v>35.0</v>
      </c>
      <c r="AJ88" s="26">
        <v>35.0</v>
      </c>
      <c r="AK88" s="26">
        <v>35.0</v>
      </c>
      <c r="AL88" s="26">
        <v>36.0</v>
      </c>
      <c r="AM88" s="26">
        <v>35.0</v>
      </c>
      <c r="AN88" s="26">
        <v>35.0</v>
      </c>
      <c r="AO88" s="26">
        <v>35.0</v>
      </c>
      <c r="AP88" s="26">
        <v>35.0</v>
      </c>
      <c r="AQ88" s="26">
        <v>35.0</v>
      </c>
      <c r="AR88" s="26">
        <v>35.0</v>
      </c>
      <c r="AS88" s="25">
        <v>35.0</v>
      </c>
      <c r="AT88" s="26">
        <v>48.0</v>
      </c>
      <c r="AU88" s="27">
        <v>48.0</v>
      </c>
    </row>
    <row r="89">
      <c r="B89" s="24">
        <v>49.0</v>
      </c>
      <c r="C89" s="25" t="s">
        <v>77</v>
      </c>
      <c r="D89" s="25">
        <v>1.0</v>
      </c>
      <c r="E89" s="25">
        <v>0.0</v>
      </c>
      <c r="F89" s="26">
        <v>81.0</v>
      </c>
      <c r="G89" s="26">
        <v>81.0</v>
      </c>
      <c r="H89" s="26">
        <v>81.0</v>
      </c>
      <c r="I89" s="26">
        <v>81.0</v>
      </c>
      <c r="J89" s="26">
        <v>81.0</v>
      </c>
      <c r="K89" s="26">
        <v>81.0</v>
      </c>
      <c r="L89" s="26">
        <v>81.0</v>
      </c>
      <c r="M89" s="26">
        <v>81.0</v>
      </c>
      <c r="N89" s="26">
        <v>81.0</v>
      </c>
      <c r="O89" s="26">
        <v>81.0</v>
      </c>
      <c r="P89" s="26">
        <v>81.0</v>
      </c>
      <c r="Q89" s="26">
        <v>81.0</v>
      </c>
      <c r="R89" s="26">
        <v>81.0</v>
      </c>
      <c r="S89" s="26">
        <v>81.0</v>
      </c>
      <c r="T89" s="26">
        <v>81.0</v>
      </c>
      <c r="U89" s="26">
        <v>81.0</v>
      </c>
      <c r="V89" s="26">
        <v>81.0</v>
      </c>
      <c r="W89" s="26">
        <v>81.0</v>
      </c>
      <c r="X89" s="26">
        <v>81.0</v>
      </c>
      <c r="Y89" s="25">
        <v>81.0</v>
      </c>
      <c r="Z89" s="26">
        <v>35.0</v>
      </c>
      <c r="AA89" s="26">
        <v>35.0</v>
      </c>
      <c r="AB89" s="26">
        <v>35.0</v>
      </c>
      <c r="AC89" s="26">
        <v>35.0</v>
      </c>
      <c r="AD89" s="26">
        <v>35.0</v>
      </c>
      <c r="AE89" s="26">
        <v>35.0</v>
      </c>
      <c r="AF89" s="26">
        <v>35.0</v>
      </c>
      <c r="AG89" s="26">
        <v>35.0</v>
      </c>
      <c r="AH89" s="26">
        <v>35.0</v>
      </c>
      <c r="AI89" s="26">
        <v>35.0</v>
      </c>
      <c r="AJ89" s="26">
        <v>35.0</v>
      </c>
      <c r="AK89" s="26">
        <v>35.0</v>
      </c>
      <c r="AL89" s="26">
        <v>35.0</v>
      </c>
      <c r="AM89" s="26">
        <v>35.0</v>
      </c>
      <c r="AN89" s="26">
        <v>35.0</v>
      </c>
      <c r="AO89" s="26">
        <v>35.0</v>
      </c>
      <c r="AP89" s="26">
        <v>35.0</v>
      </c>
      <c r="AQ89" s="26">
        <v>35.0</v>
      </c>
      <c r="AR89" s="26">
        <v>35.0</v>
      </c>
      <c r="AS89" s="25">
        <v>35.0</v>
      </c>
      <c r="AT89" s="26">
        <v>48.0</v>
      </c>
      <c r="AU89" s="27">
        <v>48.0</v>
      </c>
    </row>
    <row r="90">
      <c r="B90" s="24">
        <v>50.0</v>
      </c>
      <c r="C90" s="25" t="s">
        <v>78</v>
      </c>
      <c r="D90" s="25">
        <v>1.0</v>
      </c>
      <c r="E90" s="25">
        <v>0.0</v>
      </c>
      <c r="F90" s="26">
        <v>82.0</v>
      </c>
      <c r="G90" s="26">
        <v>82.0</v>
      </c>
      <c r="H90" s="26">
        <v>82.0</v>
      </c>
      <c r="I90" s="26">
        <v>82.0</v>
      </c>
      <c r="J90" s="26">
        <v>82.0</v>
      </c>
      <c r="K90" s="26">
        <v>82.0</v>
      </c>
      <c r="L90" s="26">
        <v>82.0</v>
      </c>
      <c r="M90" s="26">
        <v>82.0</v>
      </c>
      <c r="N90" s="26">
        <v>82.0</v>
      </c>
      <c r="O90" s="26">
        <v>82.0</v>
      </c>
      <c r="P90" s="26">
        <v>82.0</v>
      </c>
      <c r="Q90" s="26">
        <v>82.0</v>
      </c>
      <c r="R90" s="26">
        <v>82.0</v>
      </c>
      <c r="S90" s="26">
        <v>82.0</v>
      </c>
      <c r="T90" s="26">
        <v>82.0</v>
      </c>
      <c r="U90" s="26">
        <v>82.0</v>
      </c>
      <c r="V90" s="26">
        <v>82.0</v>
      </c>
      <c r="W90" s="26">
        <v>82.0</v>
      </c>
      <c r="X90" s="26">
        <v>82.0</v>
      </c>
      <c r="Y90" s="25">
        <v>82.0</v>
      </c>
      <c r="Z90" s="26">
        <v>35.0</v>
      </c>
      <c r="AA90" s="26">
        <v>35.0</v>
      </c>
      <c r="AB90" s="26">
        <v>35.0</v>
      </c>
      <c r="AC90" s="26">
        <v>35.0</v>
      </c>
      <c r="AD90" s="26">
        <v>35.0</v>
      </c>
      <c r="AE90" s="26">
        <v>35.0</v>
      </c>
      <c r="AF90" s="26">
        <v>35.0</v>
      </c>
      <c r="AG90" s="26">
        <v>35.0</v>
      </c>
      <c r="AH90" s="26">
        <v>35.0</v>
      </c>
      <c r="AI90" s="26">
        <v>35.0</v>
      </c>
      <c r="AJ90" s="26">
        <v>35.0</v>
      </c>
      <c r="AK90" s="26">
        <v>35.0</v>
      </c>
      <c r="AL90" s="26">
        <v>35.0</v>
      </c>
      <c r="AM90" s="26">
        <v>35.0</v>
      </c>
      <c r="AN90" s="26">
        <v>35.0</v>
      </c>
      <c r="AO90" s="26">
        <v>35.0</v>
      </c>
      <c r="AP90" s="26">
        <v>35.0</v>
      </c>
      <c r="AQ90" s="26">
        <v>35.0</v>
      </c>
      <c r="AR90" s="26">
        <v>35.0</v>
      </c>
      <c r="AS90" s="25">
        <v>35.0</v>
      </c>
      <c r="AT90" s="26">
        <v>48.0</v>
      </c>
      <c r="AU90" s="27">
        <v>48.0</v>
      </c>
    </row>
    <row r="91">
      <c r="B91" s="24">
        <v>51.0</v>
      </c>
      <c r="C91" s="25" t="s">
        <v>79</v>
      </c>
      <c r="D91" s="25">
        <v>1.0</v>
      </c>
      <c r="E91" s="25">
        <v>1.0</v>
      </c>
      <c r="F91" s="26">
        <v>83.0</v>
      </c>
      <c r="G91" s="26">
        <v>83.0</v>
      </c>
      <c r="H91" s="26">
        <v>83.0</v>
      </c>
      <c r="I91" s="26">
        <v>83.0</v>
      </c>
      <c r="J91" s="26">
        <v>83.0</v>
      </c>
      <c r="K91" s="26">
        <v>83.0</v>
      </c>
      <c r="L91" s="26">
        <v>83.0</v>
      </c>
      <c r="M91" s="26">
        <v>83.0</v>
      </c>
      <c r="N91" s="26">
        <v>83.0</v>
      </c>
      <c r="O91" s="26">
        <v>83.0</v>
      </c>
      <c r="P91" s="26">
        <v>83.0</v>
      </c>
      <c r="Q91" s="26">
        <v>83.0</v>
      </c>
      <c r="R91" s="26">
        <v>83.0</v>
      </c>
      <c r="S91" s="26">
        <v>83.0</v>
      </c>
      <c r="T91" s="26">
        <v>83.0</v>
      </c>
      <c r="U91" s="26">
        <v>83.0</v>
      </c>
      <c r="V91" s="26">
        <v>83.0</v>
      </c>
      <c r="W91" s="26">
        <v>83.0</v>
      </c>
      <c r="X91" s="26">
        <v>83.0</v>
      </c>
      <c r="Y91" s="25">
        <v>83.0</v>
      </c>
      <c r="Z91" s="26">
        <v>35.0</v>
      </c>
      <c r="AA91" s="26">
        <v>35.0</v>
      </c>
      <c r="AB91" s="26">
        <v>35.0</v>
      </c>
      <c r="AC91" s="26">
        <v>35.0</v>
      </c>
      <c r="AD91" s="26">
        <v>35.0</v>
      </c>
      <c r="AE91" s="26">
        <v>35.0</v>
      </c>
      <c r="AF91" s="26">
        <v>35.0</v>
      </c>
      <c r="AG91" s="26">
        <v>35.0</v>
      </c>
      <c r="AH91" s="26">
        <v>35.0</v>
      </c>
      <c r="AI91" s="26">
        <v>35.0</v>
      </c>
      <c r="AJ91" s="26">
        <v>35.0</v>
      </c>
      <c r="AK91" s="26">
        <v>35.0</v>
      </c>
      <c r="AL91" s="26">
        <v>35.0</v>
      </c>
      <c r="AM91" s="26">
        <v>35.0</v>
      </c>
      <c r="AN91" s="26">
        <v>35.0</v>
      </c>
      <c r="AO91" s="26">
        <v>35.0</v>
      </c>
      <c r="AP91" s="26">
        <v>35.0</v>
      </c>
      <c r="AQ91" s="26">
        <v>35.0</v>
      </c>
      <c r="AR91" s="26">
        <v>35.0</v>
      </c>
      <c r="AS91" s="25">
        <v>35.0</v>
      </c>
      <c r="AT91" s="26">
        <v>48.0</v>
      </c>
      <c r="AU91" s="27">
        <v>48.0</v>
      </c>
    </row>
    <row r="92">
      <c r="B92" s="24">
        <v>52.0</v>
      </c>
      <c r="C92" s="25" t="s">
        <v>80</v>
      </c>
      <c r="D92" s="25">
        <v>1.0</v>
      </c>
      <c r="E92" s="25">
        <v>1.0</v>
      </c>
      <c r="F92" s="26">
        <v>84.0</v>
      </c>
      <c r="G92" s="26">
        <v>84.0</v>
      </c>
      <c r="H92" s="26">
        <v>84.0</v>
      </c>
      <c r="I92" s="26">
        <v>84.0</v>
      </c>
      <c r="J92" s="26">
        <v>84.0</v>
      </c>
      <c r="K92" s="26">
        <v>84.0</v>
      </c>
      <c r="L92" s="26">
        <v>84.0</v>
      </c>
      <c r="M92" s="26">
        <v>84.0</v>
      </c>
      <c r="N92" s="26">
        <v>84.0</v>
      </c>
      <c r="O92" s="26">
        <v>84.0</v>
      </c>
      <c r="P92" s="26">
        <v>84.0</v>
      </c>
      <c r="Q92" s="26">
        <v>84.0</v>
      </c>
      <c r="R92" s="26">
        <v>84.0</v>
      </c>
      <c r="S92" s="26">
        <v>84.0</v>
      </c>
      <c r="T92" s="26">
        <v>84.0</v>
      </c>
      <c r="U92" s="26">
        <v>84.0</v>
      </c>
      <c r="V92" s="26">
        <v>84.0</v>
      </c>
      <c r="W92" s="26">
        <v>84.0</v>
      </c>
      <c r="X92" s="26">
        <v>84.0</v>
      </c>
      <c r="Y92" s="25">
        <v>84.0</v>
      </c>
      <c r="Z92" s="26">
        <v>35.0</v>
      </c>
      <c r="AA92" s="26">
        <v>35.0</v>
      </c>
      <c r="AB92" s="26">
        <v>35.0</v>
      </c>
      <c r="AC92" s="26">
        <v>35.0</v>
      </c>
      <c r="AD92" s="26">
        <v>35.0</v>
      </c>
      <c r="AE92" s="26">
        <v>35.0</v>
      </c>
      <c r="AF92" s="26">
        <v>35.0</v>
      </c>
      <c r="AG92" s="26">
        <v>35.0</v>
      </c>
      <c r="AH92" s="26">
        <v>35.0</v>
      </c>
      <c r="AI92" s="26">
        <v>35.0</v>
      </c>
      <c r="AJ92" s="26">
        <v>35.0</v>
      </c>
      <c r="AK92" s="26">
        <v>35.0</v>
      </c>
      <c r="AL92" s="26">
        <v>35.0</v>
      </c>
      <c r="AM92" s="26">
        <v>35.0</v>
      </c>
      <c r="AN92" s="26">
        <v>35.0</v>
      </c>
      <c r="AO92" s="26">
        <v>35.0</v>
      </c>
      <c r="AP92" s="26">
        <v>35.0</v>
      </c>
      <c r="AQ92" s="26">
        <v>35.0</v>
      </c>
      <c r="AR92" s="26">
        <v>35.0</v>
      </c>
      <c r="AS92" s="25">
        <v>35.0</v>
      </c>
      <c r="AT92" s="26">
        <v>48.0</v>
      </c>
      <c r="AU92" s="27">
        <v>48.0</v>
      </c>
    </row>
    <row r="93">
      <c r="B93" s="24">
        <v>53.0</v>
      </c>
      <c r="C93" s="25" t="s">
        <v>81</v>
      </c>
      <c r="D93" s="25">
        <v>1.0</v>
      </c>
      <c r="E93" s="25">
        <v>1.0</v>
      </c>
      <c r="F93" s="26">
        <v>85.0</v>
      </c>
      <c r="G93" s="26">
        <v>85.0</v>
      </c>
      <c r="H93" s="26">
        <v>85.0</v>
      </c>
      <c r="I93" s="26">
        <v>85.0</v>
      </c>
      <c r="J93" s="26">
        <v>85.0</v>
      </c>
      <c r="K93" s="26">
        <v>85.0</v>
      </c>
      <c r="L93" s="26">
        <v>85.0</v>
      </c>
      <c r="M93" s="26">
        <v>85.0</v>
      </c>
      <c r="N93" s="26">
        <v>85.0</v>
      </c>
      <c r="O93" s="26">
        <v>85.0</v>
      </c>
      <c r="P93" s="26">
        <v>85.0</v>
      </c>
      <c r="Q93" s="26">
        <v>85.0</v>
      </c>
      <c r="R93" s="26">
        <v>85.0</v>
      </c>
      <c r="S93" s="26">
        <v>85.0</v>
      </c>
      <c r="T93" s="26">
        <v>85.0</v>
      </c>
      <c r="U93" s="26">
        <v>85.0</v>
      </c>
      <c r="V93" s="26">
        <v>85.0</v>
      </c>
      <c r="W93" s="26">
        <v>85.0</v>
      </c>
      <c r="X93" s="26">
        <v>85.0</v>
      </c>
      <c r="Y93" s="25">
        <v>85.0</v>
      </c>
      <c r="Z93" s="26">
        <v>35.0</v>
      </c>
      <c r="AA93" s="26">
        <v>35.0</v>
      </c>
      <c r="AB93" s="26">
        <v>35.0</v>
      </c>
      <c r="AC93" s="26">
        <v>35.0</v>
      </c>
      <c r="AD93" s="26">
        <v>35.0</v>
      </c>
      <c r="AE93" s="26">
        <v>35.0</v>
      </c>
      <c r="AF93" s="26">
        <v>35.0</v>
      </c>
      <c r="AG93" s="26">
        <v>35.0</v>
      </c>
      <c r="AH93" s="26">
        <v>35.0</v>
      </c>
      <c r="AI93" s="26">
        <v>35.0</v>
      </c>
      <c r="AJ93" s="26">
        <v>35.0</v>
      </c>
      <c r="AK93" s="26">
        <v>35.0</v>
      </c>
      <c r="AL93" s="26">
        <v>35.0</v>
      </c>
      <c r="AM93" s="26">
        <v>35.0</v>
      </c>
      <c r="AN93" s="26">
        <v>35.0</v>
      </c>
      <c r="AO93" s="26">
        <v>35.0</v>
      </c>
      <c r="AP93" s="26">
        <v>35.0</v>
      </c>
      <c r="AQ93" s="26">
        <v>35.0</v>
      </c>
      <c r="AR93" s="26">
        <v>35.0</v>
      </c>
      <c r="AS93" s="25">
        <v>35.0</v>
      </c>
      <c r="AT93" s="26">
        <v>48.0</v>
      </c>
      <c r="AU93" s="27">
        <v>48.0</v>
      </c>
    </row>
    <row r="94">
      <c r="B94" s="24">
        <v>54.0</v>
      </c>
      <c r="C94" s="25" t="s">
        <v>82</v>
      </c>
      <c r="D94" s="25">
        <v>1.0</v>
      </c>
      <c r="E94" s="25">
        <v>1.0</v>
      </c>
      <c r="F94" s="26">
        <v>86.0</v>
      </c>
      <c r="G94" s="26">
        <v>86.0</v>
      </c>
      <c r="H94" s="26">
        <v>86.0</v>
      </c>
      <c r="I94" s="26">
        <v>86.0</v>
      </c>
      <c r="J94" s="26">
        <v>86.0</v>
      </c>
      <c r="K94" s="26">
        <v>86.0</v>
      </c>
      <c r="L94" s="26">
        <v>86.0</v>
      </c>
      <c r="M94" s="26">
        <v>86.0</v>
      </c>
      <c r="N94" s="26">
        <v>86.0</v>
      </c>
      <c r="O94" s="26">
        <v>86.0</v>
      </c>
      <c r="P94" s="26">
        <v>86.0</v>
      </c>
      <c r="Q94" s="26">
        <v>86.0</v>
      </c>
      <c r="R94" s="26">
        <v>86.0</v>
      </c>
      <c r="S94" s="26">
        <v>86.0</v>
      </c>
      <c r="T94" s="26">
        <v>86.0</v>
      </c>
      <c r="U94" s="26">
        <v>86.0</v>
      </c>
      <c r="V94" s="26">
        <v>86.0</v>
      </c>
      <c r="W94" s="26">
        <v>86.0</v>
      </c>
      <c r="X94" s="26">
        <v>86.0</v>
      </c>
      <c r="Y94" s="25">
        <v>86.0</v>
      </c>
      <c r="Z94" s="26">
        <v>35.0</v>
      </c>
      <c r="AA94" s="26">
        <v>35.0</v>
      </c>
      <c r="AB94" s="26">
        <v>35.0</v>
      </c>
      <c r="AC94" s="26">
        <v>35.0</v>
      </c>
      <c r="AD94" s="26">
        <v>35.0</v>
      </c>
      <c r="AE94" s="26">
        <v>35.0</v>
      </c>
      <c r="AF94" s="26">
        <v>35.0</v>
      </c>
      <c r="AG94" s="26">
        <v>35.0</v>
      </c>
      <c r="AH94" s="26">
        <v>35.0</v>
      </c>
      <c r="AI94" s="26">
        <v>35.0</v>
      </c>
      <c r="AJ94" s="26">
        <v>35.0</v>
      </c>
      <c r="AK94" s="26">
        <v>35.0</v>
      </c>
      <c r="AL94" s="26">
        <v>35.0</v>
      </c>
      <c r="AM94" s="26">
        <v>35.0</v>
      </c>
      <c r="AN94" s="26">
        <v>35.0</v>
      </c>
      <c r="AO94" s="26">
        <v>35.0</v>
      </c>
      <c r="AP94" s="26">
        <v>35.0</v>
      </c>
      <c r="AQ94" s="26">
        <v>35.0</v>
      </c>
      <c r="AR94" s="26">
        <v>35.0</v>
      </c>
      <c r="AS94" s="25">
        <v>35.0</v>
      </c>
      <c r="AT94" s="26">
        <v>48.0</v>
      </c>
      <c r="AU94" s="27">
        <v>48.0</v>
      </c>
    </row>
    <row r="95">
      <c r="B95" s="24">
        <v>55.0</v>
      </c>
      <c r="C95" s="25" t="s">
        <v>83</v>
      </c>
      <c r="D95" s="25">
        <v>1.0</v>
      </c>
      <c r="E95" s="25">
        <v>0.0</v>
      </c>
      <c r="F95" s="26">
        <v>87.0</v>
      </c>
      <c r="G95" s="26">
        <v>87.0</v>
      </c>
      <c r="H95" s="26">
        <v>87.0</v>
      </c>
      <c r="I95" s="26">
        <v>87.0</v>
      </c>
      <c r="J95" s="26">
        <v>87.0</v>
      </c>
      <c r="K95" s="26">
        <v>87.0</v>
      </c>
      <c r="L95" s="26">
        <v>87.0</v>
      </c>
      <c r="M95" s="26">
        <v>87.0</v>
      </c>
      <c r="N95" s="26">
        <v>87.0</v>
      </c>
      <c r="O95" s="26">
        <v>87.0</v>
      </c>
      <c r="P95" s="26">
        <v>87.0</v>
      </c>
      <c r="Q95" s="26">
        <v>87.0</v>
      </c>
      <c r="R95" s="26">
        <v>87.0</v>
      </c>
      <c r="S95" s="26">
        <v>87.0</v>
      </c>
      <c r="T95" s="26">
        <v>87.0</v>
      </c>
      <c r="U95" s="26">
        <v>87.0</v>
      </c>
      <c r="V95" s="26">
        <v>87.0</v>
      </c>
      <c r="W95" s="26">
        <v>87.0</v>
      </c>
      <c r="X95" s="26">
        <v>87.0</v>
      </c>
      <c r="Y95" s="25">
        <v>87.0</v>
      </c>
      <c r="Z95" s="26">
        <v>35.0</v>
      </c>
      <c r="AA95" s="26">
        <v>35.0</v>
      </c>
      <c r="AB95" s="26">
        <v>35.0</v>
      </c>
      <c r="AC95" s="26">
        <v>35.0</v>
      </c>
      <c r="AD95" s="26">
        <v>35.0</v>
      </c>
      <c r="AE95" s="26">
        <v>35.0</v>
      </c>
      <c r="AF95" s="26">
        <v>35.0</v>
      </c>
      <c r="AG95" s="26">
        <v>35.0</v>
      </c>
      <c r="AH95" s="26">
        <v>35.0</v>
      </c>
      <c r="AI95" s="26">
        <v>35.0</v>
      </c>
      <c r="AJ95" s="26">
        <v>35.0</v>
      </c>
      <c r="AK95" s="26">
        <v>35.0</v>
      </c>
      <c r="AL95" s="26">
        <v>35.0</v>
      </c>
      <c r="AM95" s="26">
        <v>35.0</v>
      </c>
      <c r="AN95" s="26">
        <v>35.0</v>
      </c>
      <c r="AO95" s="26">
        <v>35.0</v>
      </c>
      <c r="AP95" s="26">
        <v>35.0</v>
      </c>
      <c r="AQ95" s="26">
        <v>35.0</v>
      </c>
      <c r="AR95" s="26">
        <v>35.0</v>
      </c>
      <c r="AS95" s="25">
        <v>35.0</v>
      </c>
      <c r="AT95" s="26">
        <v>48.0</v>
      </c>
      <c r="AU95" s="27">
        <v>48.0</v>
      </c>
    </row>
    <row r="96">
      <c r="B96" s="24">
        <v>56.0</v>
      </c>
      <c r="C96" s="25" t="s">
        <v>84</v>
      </c>
      <c r="D96" s="25">
        <v>1.0</v>
      </c>
      <c r="E96" s="25">
        <v>0.0</v>
      </c>
      <c r="F96" s="26">
        <v>88.0</v>
      </c>
      <c r="G96" s="26">
        <v>88.0</v>
      </c>
      <c r="H96" s="26">
        <v>88.0</v>
      </c>
      <c r="I96" s="26">
        <v>88.0</v>
      </c>
      <c r="J96" s="26">
        <v>88.0</v>
      </c>
      <c r="K96" s="26">
        <v>88.0</v>
      </c>
      <c r="L96" s="26">
        <v>88.0</v>
      </c>
      <c r="M96" s="26">
        <v>88.0</v>
      </c>
      <c r="N96" s="26">
        <v>88.0</v>
      </c>
      <c r="O96" s="26">
        <v>88.0</v>
      </c>
      <c r="P96" s="26">
        <v>88.0</v>
      </c>
      <c r="Q96" s="26">
        <v>88.0</v>
      </c>
      <c r="R96" s="26">
        <v>88.0</v>
      </c>
      <c r="S96" s="26">
        <v>88.0</v>
      </c>
      <c r="T96" s="26">
        <v>88.0</v>
      </c>
      <c r="U96" s="26">
        <v>88.0</v>
      </c>
      <c r="V96" s="26">
        <v>88.0</v>
      </c>
      <c r="W96" s="26">
        <v>88.0</v>
      </c>
      <c r="X96" s="26">
        <v>88.0</v>
      </c>
      <c r="Y96" s="25">
        <v>88.0</v>
      </c>
      <c r="Z96" s="26">
        <v>35.0</v>
      </c>
      <c r="AA96" s="26">
        <v>35.0</v>
      </c>
      <c r="AB96" s="26">
        <v>35.0</v>
      </c>
      <c r="AC96" s="26">
        <v>35.0</v>
      </c>
      <c r="AD96" s="26">
        <v>35.0</v>
      </c>
      <c r="AE96" s="26">
        <v>35.0</v>
      </c>
      <c r="AF96" s="26">
        <v>35.0</v>
      </c>
      <c r="AG96" s="26">
        <v>35.0</v>
      </c>
      <c r="AH96" s="26">
        <v>35.0</v>
      </c>
      <c r="AI96" s="26">
        <v>35.0</v>
      </c>
      <c r="AJ96" s="26">
        <v>35.0</v>
      </c>
      <c r="AK96" s="26">
        <v>35.0</v>
      </c>
      <c r="AL96" s="26">
        <v>35.0</v>
      </c>
      <c r="AM96" s="26">
        <v>35.0</v>
      </c>
      <c r="AN96" s="26">
        <v>35.0</v>
      </c>
      <c r="AO96" s="26">
        <v>35.0</v>
      </c>
      <c r="AP96" s="26">
        <v>35.0</v>
      </c>
      <c r="AQ96" s="26">
        <v>35.0</v>
      </c>
      <c r="AR96" s="26">
        <v>35.0</v>
      </c>
      <c r="AS96" s="25">
        <v>35.0</v>
      </c>
      <c r="AT96" s="26">
        <v>48.0</v>
      </c>
      <c r="AU96" s="27">
        <v>48.0</v>
      </c>
    </row>
    <row r="97">
      <c r="B97" s="24">
        <v>57.0</v>
      </c>
      <c r="C97" s="25" t="s">
        <v>85</v>
      </c>
      <c r="D97" s="25">
        <v>1.0</v>
      </c>
      <c r="E97" s="25">
        <v>0.0</v>
      </c>
      <c r="F97" s="26">
        <v>89.0</v>
      </c>
      <c r="G97" s="26">
        <v>89.0</v>
      </c>
      <c r="H97" s="26">
        <v>89.0</v>
      </c>
      <c r="I97" s="26">
        <v>89.0</v>
      </c>
      <c r="J97" s="26">
        <v>89.0</v>
      </c>
      <c r="K97" s="26">
        <v>89.0</v>
      </c>
      <c r="L97" s="26">
        <v>89.0</v>
      </c>
      <c r="M97" s="26">
        <v>89.0</v>
      </c>
      <c r="N97" s="26">
        <v>89.0</v>
      </c>
      <c r="O97" s="26">
        <v>89.0</v>
      </c>
      <c r="P97" s="26">
        <v>89.0</v>
      </c>
      <c r="Q97" s="26">
        <v>89.0</v>
      </c>
      <c r="R97" s="26">
        <v>89.0</v>
      </c>
      <c r="S97" s="26">
        <v>89.0</v>
      </c>
      <c r="T97" s="26">
        <v>89.0</v>
      </c>
      <c r="U97" s="26">
        <v>89.0</v>
      </c>
      <c r="V97" s="26">
        <v>89.0</v>
      </c>
      <c r="W97" s="26">
        <v>89.0</v>
      </c>
      <c r="X97" s="26">
        <v>89.0</v>
      </c>
      <c r="Y97" s="25">
        <v>89.0</v>
      </c>
      <c r="Z97" s="26">
        <v>35.0</v>
      </c>
      <c r="AA97" s="26">
        <v>35.0</v>
      </c>
      <c r="AB97" s="26">
        <v>35.0</v>
      </c>
      <c r="AC97" s="26">
        <v>35.0</v>
      </c>
      <c r="AD97" s="26">
        <v>35.0</v>
      </c>
      <c r="AE97" s="26">
        <v>35.0</v>
      </c>
      <c r="AF97" s="26">
        <v>35.0</v>
      </c>
      <c r="AG97" s="26">
        <v>35.0</v>
      </c>
      <c r="AH97" s="26">
        <v>35.0</v>
      </c>
      <c r="AI97" s="26">
        <v>35.0</v>
      </c>
      <c r="AJ97" s="26">
        <v>35.0</v>
      </c>
      <c r="AK97" s="26">
        <v>35.0</v>
      </c>
      <c r="AL97" s="26">
        <v>35.0</v>
      </c>
      <c r="AM97" s="26">
        <v>35.0</v>
      </c>
      <c r="AN97" s="26">
        <v>35.0</v>
      </c>
      <c r="AO97" s="26">
        <v>35.0</v>
      </c>
      <c r="AP97" s="26">
        <v>35.0</v>
      </c>
      <c r="AQ97" s="26">
        <v>35.0</v>
      </c>
      <c r="AR97" s="26">
        <v>35.0</v>
      </c>
      <c r="AS97" s="25">
        <v>35.0</v>
      </c>
      <c r="AT97" s="26">
        <v>48.0</v>
      </c>
      <c r="AU97" s="27">
        <v>48.0</v>
      </c>
    </row>
    <row r="98">
      <c r="B98" s="24">
        <v>58.0</v>
      </c>
      <c r="C98" s="25" t="s">
        <v>86</v>
      </c>
      <c r="D98" s="25">
        <v>1.0</v>
      </c>
      <c r="E98" s="25">
        <v>0.0</v>
      </c>
      <c r="F98" s="26">
        <v>90.0</v>
      </c>
      <c r="G98" s="26">
        <v>90.0</v>
      </c>
      <c r="H98" s="26">
        <v>90.0</v>
      </c>
      <c r="I98" s="26">
        <v>90.0</v>
      </c>
      <c r="J98" s="26">
        <v>90.0</v>
      </c>
      <c r="K98" s="26">
        <v>90.0</v>
      </c>
      <c r="L98" s="26">
        <v>90.0</v>
      </c>
      <c r="M98" s="26">
        <v>90.0</v>
      </c>
      <c r="N98" s="26">
        <v>90.0</v>
      </c>
      <c r="O98" s="26">
        <v>90.0</v>
      </c>
      <c r="P98" s="26">
        <v>90.0</v>
      </c>
      <c r="Q98" s="26">
        <v>90.0</v>
      </c>
      <c r="R98" s="26">
        <v>90.0</v>
      </c>
      <c r="S98" s="26">
        <v>90.0</v>
      </c>
      <c r="T98" s="26">
        <v>90.0</v>
      </c>
      <c r="U98" s="26">
        <v>90.0</v>
      </c>
      <c r="V98" s="26">
        <v>90.0</v>
      </c>
      <c r="W98" s="26">
        <v>90.0</v>
      </c>
      <c r="X98" s="26">
        <v>90.0</v>
      </c>
      <c r="Y98" s="25">
        <v>90.0</v>
      </c>
      <c r="Z98" s="26">
        <v>35.0</v>
      </c>
      <c r="AA98" s="26">
        <v>35.0</v>
      </c>
      <c r="AB98" s="26">
        <v>35.0</v>
      </c>
      <c r="AC98" s="26">
        <v>35.0</v>
      </c>
      <c r="AD98" s="26">
        <v>35.0</v>
      </c>
      <c r="AE98" s="26">
        <v>35.0</v>
      </c>
      <c r="AF98" s="26">
        <v>35.0</v>
      </c>
      <c r="AG98" s="26">
        <v>35.0</v>
      </c>
      <c r="AH98" s="26">
        <v>35.0</v>
      </c>
      <c r="AI98" s="26">
        <v>35.0</v>
      </c>
      <c r="AJ98" s="26">
        <v>35.0</v>
      </c>
      <c r="AK98" s="26">
        <v>35.0</v>
      </c>
      <c r="AL98" s="26">
        <v>35.0</v>
      </c>
      <c r="AM98" s="26">
        <v>35.0</v>
      </c>
      <c r="AN98" s="26">
        <v>35.0</v>
      </c>
      <c r="AO98" s="26">
        <v>35.0</v>
      </c>
      <c r="AP98" s="26">
        <v>35.0</v>
      </c>
      <c r="AQ98" s="26">
        <v>35.0</v>
      </c>
      <c r="AR98" s="26">
        <v>35.0</v>
      </c>
      <c r="AS98" s="25">
        <v>35.0</v>
      </c>
      <c r="AT98" s="26">
        <v>48.0</v>
      </c>
      <c r="AU98" s="27">
        <v>48.0</v>
      </c>
    </row>
    <row r="99">
      <c r="B99" s="24">
        <v>59.0</v>
      </c>
      <c r="C99" s="25" t="s">
        <v>87</v>
      </c>
      <c r="D99" s="25">
        <v>1.0</v>
      </c>
      <c r="E99" s="25">
        <v>0.0</v>
      </c>
      <c r="F99" s="26">
        <v>91.0</v>
      </c>
      <c r="G99" s="26">
        <v>91.0</v>
      </c>
      <c r="H99" s="26">
        <v>91.0</v>
      </c>
      <c r="I99" s="26">
        <v>91.0</v>
      </c>
      <c r="J99" s="26">
        <v>91.0</v>
      </c>
      <c r="K99" s="26">
        <v>91.0</v>
      </c>
      <c r="L99" s="26">
        <v>91.0</v>
      </c>
      <c r="M99" s="26">
        <v>91.0</v>
      </c>
      <c r="N99" s="26">
        <v>91.0</v>
      </c>
      <c r="O99" s="26">
        <v>91.0</v>
      </c>
      <c r="P99" s="26">
        <v>91.0</v>
      </c>
      <c r="Q99" s="26">
        <v>91.0</v>
      </c>
      <c r="R99" s="26">
        <v>91.0</v>
      </c>
      <c r="S99" s="26">
        <v>91.0</v>
      </c>
      <c r="T99" s="26">
        <v>91.0</v>
      </c>
      <c r="U99" s="26">
        <v>91.0</v>
      </c>
      <c r="V99" s="26">
        <v>91.0</v>
      </c>
      <c r="W99" s="26">
        <v>91.0</v>
      </c>
      <c r="X99" s="26">
        <v>91.0</v>
      </c>
      <c r="Y99" s="25">
        <v>91.0</v>
      </c>
      <c r="Z99" s="26">
        <v>35.0</v>
      </c>
      <c r="AA99" s="26">
        <v>35.0</v>
      </c>
      <c r="AB99" s="26">
        <v>35.0</v>
      </c>
      <c r="AC99" s="26">
        <v>35.0</v>
      </c>
      <c r="AD99" s="26">
        <v>35.0</v>
      </c>
      <c r="AE99" s="26">
        <v>35.0</v>
      </c>
      <c r="AF99" s="26">
        <v>35.0</v>
      </c>
      <c r="AG99" s="26">
        <v>35.0</v>
      </c>
      <c r="AH99" s="26">
        <v>35.0</v>
      </c>
      <c r="AI99" s="26">
        <v>35.0</v>
      </c>
      <c r="AJ99" s="26">
        <v>35.0</v>
      </c>
      <c r="AK99" s="26">
        <v>35.0</v>
      </c>
      <c r="AL99" s="26">
        <v>35.0</v>
      </c>
      <c r="AM99" s="26">
        <v>35.0</v>
      </c>
      <c r="AN99" s="26">
        <v>35.0</v>
      </c>
      <c r="AO99" s="26">
        <v>35.0</v>
      </c>
      <c r="AP99" s="26">
        <v>35.0</v>
      </c>
      <c r="AQ99" s="26">
        <v>35.0</v>
      </c>
      <c r="AR99" s="26">
        <v>35.0</v>
      </c>
      <c r="AS99" s="25">
        <v>35.0</v>
      </c>
      <c r="AT99" s="26">
        <v>48.0</v>
      </c>
      <c r="AU99" s="27">
        <v>48.0</v>
      </c>
    </row>
    <row r="100">
      <c r="B100" s="24">
        <v>60.0</v>
      </c>
      <c r="C100" s="25" t="s">
        <v>88</v>
      </c>
      <c r="D100" s="25">
        <v>0.0</v>
      </c>
      <c r="E100" s="25">
        <v>0.0</v>
      </c>
      <c r="F100" s="26">
        <v>92.0</v>
      </c>
      <c r="G100" s="26">
        <v>92.0</v>
      </c>
      <c r="H100" s="26">
        <v>92.0</v>
      </c>
      <c r="I100" s="26">
        <v>92.0</v>
      </c>
      <c r="J100" s="26">
        <v>92.0</v>
      </c>
      <c r="K100" s="26">
        <v>92.0</v>
      </c>
      <c r="L100" s="26">
        <v>92.0</v>
      </c>
      <c r="M100" s="26">
        <v>92.0</v>
      </c>
      <c r="N100" s="26">
        <v>92.0</v>
      </c>
      <c r="O100" s="26">
        <v>92.0</v>
      </c>
      <c r="P100" s="26">
        <v>92.0</v>
      </c>
      <c r="Q100" s="26">
        <v>92.0</v>
      </c>
      <c r="R100" s="26">
        <v>92.0</v>
      </c>
      <c r="S100" s="26">
        <v>92.0</v>
      </c>
      <c r="T100" s="26">
        <v>92.0</v>
      </c>
      <c r="U100" s="26">
        <v>92.0</v>
      </c>
      <c r="V100" s="26">
        <v>92.0</v>
      </c>
      <c r="W100" s="26">
        <v>92.0</v>
      </c>
      <c r="X100" s="26">
        <v>92.0</v>
      </c>
      <c r="Y100" s="25">
        <v>92.0</v>
      </c>
      <c r="Z100" s="26">
        <v>35.0</v>
      </c>
      <c r="AA100" s="26">
        <v>35.0</v>
      </c>
      <c r="AB100" s="26">
        <v>35.0</v>
      </c>
      <c r="AC100" s="26">
        <v>35.0</v>
      </c>
      <c r="AD100" s="26">
        <v>35.0</v>
      </c>
      <c r="AE100" s="26">
        <v>35.0</v>
      </c>
      <c r="AF100" s="26">
        <v>35.0</v>
      </c>
      <c r="AG100" s="26">
        <v>35.0</v>
      </c>
      <c r="AH100" s="26">
        <v>35.0</v>
      </c>
      <c r="AI100" s="26">
        <v>35.0</v>
      </c>
      <c r="AJ100" s="26">
        <v>35.0</v>
      </c>
      <c r="AK100" s="26">
        <v>35.0</v>
      </c>
      <c r="AL100" s="26">
        <v>35.0</v>
      </c>
      <c r="AM100" s="26">
        <v>35.0</v>
      </c>
      <c r="AN100" s="26">
        <v>35.0</v>
      </c>
      <c r="AO100" s="26">
        <v>35.0</v>
      </c>
      <c r="AP100" s="26">
        <v>35.0</v>
      </c>
      <c r="AQ100" s="26">
        <v>35.0</v>
      </c>
      <c r="AR100" s="26">
        <v>35.0</v>
      </c>
      <c r="AS100" s="25">
        <v>35.0</v>
      </c>
      <c r="AT100" s="26">
        <v>48.0</v>
      </c>
      <c r="AU100" s="27">
        <v>48.0</v>
      </c>
    </row>
    <row r="101">
      <c r="B101" s="24">
        <v>61.0</v>
      </c>
      <c r="C101" s="25" t="s">
        <v>89</v>
      </c>
      <c r="D101" s="25">
        <v>1.0</v>
      </c>
      <c r="E101" s="25">
        <v>0.0</v>
      </c>
      <c r="F101" s="26">
        <v>93.0</v>
      </c>
      <c r="G101" s="26">
        <v>93.0</v>
      </c>
      <c r="H101" s="26">
        <v>93.0</v>
      </c>
      <c r="I101" s="26">
        <v>93.0</v>
      </c>
      <c r="J101" s="26">
        <v>93.0</v>
      </c>
      <c r="K101" s="26">
        <v>93.0</v>
      </c>
      <c r="L101" s="26">
        <v>93.0</v>
      </c>
      <c r="M101" s="26">
        <v>93.0</v>
      </c>
      <c r="N101" s="26">
        <v>93.0</v>
      </c>
      <c r="O101" s="26">
        <v>93.0</v>
      </c>
      <c r="P101" s="26">
        <v>93.0</v>
      </c>
      <c r="Q101" s="26">
        <v>93.0</v>
      </c>
      <c r="R101" s="26">
        <v>93.0</v>
      </c>
      <c r="S101" s="26">
        <v>93.0</v>
      </c>
      <c r="T101" s="26">
        <v>93.0</v>
      </c>
      <c r="U101" s="26">
        <v>93.0</v>
      </c>
      <c r="V101" s="26">
        <v>93.0</v>
      </c>
      <c r="W101" s="26">
        <v>93.0</v>
      </c>
      <c r="X101" s="26">
        <v>93.0</v>
      </c>
      <c r="Y101" s="25">
        <v>93.0</v>
      </c>
      <c r="Z101" s="26">
        <v>35.0</v>
      </c>
      <c r="AA101" s="26">
        <v>35.0</v>
      </c>
      <c r="AB101" s="26">
        <v>35.0</v>
      </c>
      <c r="AC101" s="26">
        <v>35.0</v>
      </c>
      <c r="AD101" s="26">
        <v>35.0</v>
      </c>
      <c r="AE101" s="26">
        <v>35.0</v>
      </c>
      <c r="AF101" s="26">
        <v>35.0</v>
      </c>
      <c r="AG101" s="26">
        <v>35.0</v>
      </c>
      <c r="AH101" s="26">
        <v>35.0</v>
      </c>
      <c r="AI101" s="26">
        <v>35.0</v>
      </c>
      <c r="AJ101" s="26">
        <v>35.0</v>
      </c>
      <c r="AK101" s="26">
        <v>35.0</v>
      </c>
      <c r="AL101" s="26">
        <v>35.0</v>
      </c>
      <c r="AM101" s="26">
        <v>35.0</v>
      </c>
      <c r="AN101" s="26">
        <v>35.0</v>
      </c>
      <c r="AO101" s="26">
        <v>35.0</v>
      </c>
      <c r="AP101" s="26">
        <v>35.0</v>
      </c>
      <c r="AQ101" s="26">
        <v>35.0</v>
      </c>
      <c r="AR101" s="26">
        <v>35.0</v>
      </c>
      <c r="AS101" s="25">
        <v>35.0</v>
      </c>
      <c r="AT101" s="26">
        <v>48.0</v>
      </c>
      <c r="AU101" s="27">
        <v>48.0</v>
      </c>
    </row>
    <row r="102">
      <c r="B102" s="24">
        <v>62.0</v>
      </c>
      <c r="C102" s="25" t="s">
        <v>90</v>
      </c>
      <c r="D102" s="25">
        <v>1.0</v>
      </c>
      <c r="E102" s="25">
        <v>1.0</v>
      </c>
      <c r="F102" s="26">
        <v>95.0</v>
      </c>
      <c r="G102" s="26">
        <v>95.0</v>
      </c>
      <c r="H102" s="26">
        <v>95.0</v>
      </c>
      <c r="I102" s="26">
        <v>95.0</v>
      </c>
      <c r="J102" s="26">
        <v>95.0</v>
      </c>
      <c r="K102" s="26">
        <v>95.0</v>
      </c>
      <c r="L102" s="26">
        <v>95.0</v>
      </c>
      <c r="M102" s="26">
        <v>95.0</v>
      </c>
      <c r="N102" s="26">
        <v>95.0</v>
      </c>
      <c r="O102" s="26">
        <v>95.0</v>
      </c>
      <c r="P102" s="26">
        <v>95.0</v>
      </c>
      <c r="Q102" s="26">
        <v>95.0</v>
      </c>
      <c r="R102" s="26">
        <v>95.0</v>
      </c>
      <c r="S102" s="26">
        <v>95.0</v>
      </c>
      <c r="T102" s="26">
        <v>95.0</v>
      </c>
      <c r="U102" s="26">
        <v>95.0</v>
      </c>
      <c r="V102" s="26">
        <v>95.0</v>
      </c>
      <c r="W102" s="26">
        <v>95.0</v>
      </c>
      <c r="X102" s="26">
        <v>95.0</v>
      </c>
      <c r="Y102" s="25">
        <v>95.0</v>
      </c>
      <c r="Z102" s="26">
        <v>35.0</v>
      </c>
      <c r="AA102" s="26">
        <v>35.0</v>
      </c>
      <c r="AB102" s="26">
        <v>35.0</v>
      </c>
      <c r="AC102" s="26">
        <v>35.0</v>
      </c>
      <c r="AD102" s="26">
        <v>35.0</v>
      </c>
      <c r="AE102" s="26">
        <v>35.0</v>
      </c>
      <c r="AF102" s="26">
        <v>35.0</v>
      </c>
      <c r="AG102" s="26">
        <v>35.0</v>
      </c>
      <c r="AH102" s="26">
        <v>35.0</v>
      </c>
      <c r="AI102" s="26">
        <v>35.0</v>
      </c>
      <c r="AJ102" s="26">
        <v>35.0</v>
      </c>
      <c r="AK102" s="26">
        <v>35.0</v>
      </c>
      <c r="AL102" s="26">
        <v>35.0</v>
      </c>
      <c r="AM102" s="26">
        <v>35.0</v>
      </c>
      <c r="AN102" s="26">
        <v>35.0</v>
      </c>
      <c r="AO102" s="26">
        <v>35.0</v>
      </c>
      <c r="AP102" s="26">
        <v>35.0</v>
      </c>
      <c r="AQ102" s="26">
        <v>35.0</v>
      </c>
      <c r="AR102" s="26">
        <v>35.0</v>
      </c>
      <c r="AS102" s="25">
        <v>35.0</v>
      </c>
      <c r="AT102" s="26">
        <v>48.0</v>
      </c>
      <c r="AU102" s="27">
        <v>48.0</v>
      </c>
    </row>
    <row r="103">
      <c r="B103" s="24">
        <v>63.0</v>
      </c>
      <c r="C103" s="25" t="s">
        <v>91</v>
      </c>
      <c r="D103" s="25">
        <v>1.0</v>
      </c>
      <c r="E103" s="25">
        <v>1.0</v>
      </c>
      <c r="F103" s="26">
        <v>96.0</v>
      </c>
      <c r="G103" s="26">
        <v>96.0</v>
      </c>
      <c r="H103" s="26">
        <v>96.0</v>
      </c>
      <c r="I103" s="26">
        <v>96.0</v>
      </c>
      <c r="J103" s="26">
        <v>96.0</v>
      </c>
      <c r="K103" s="26">
        <v>96.0</v>
      </c>
      <c r="L103" s="26">
        <v>96.0</v>
      </c>
      <c r="M103" s="26">
        <v>96.0</v>
      </c>
      <c r="N103" s="26">
        <v>96.0</v>
      </c>
      <c r="O103" s="26">
        <v>96.0</v>
      </c>
      <c r="P103" s="26">
        <v>96.0</v>
      </c>
      <c r="Q103" s="26">
        <v>96.0</v>
      </c>
      <c r="R103" s="26">
        <v>96.0</v>
      </c>
      <c r="S103" s="26">
        <v>96.0</v>
      </c>
      <c r="T103" s="26">
        <v>96.0</v>
      </c>
      <c r="U103" s="26">
        <v>96.0</v>
      </c>
      <c r="V103" s="26">
        <v>96.0</v>
      </c>
      <c r="W103" s="26">
        <v>96.0</v>
      </c>
      <c r="X103" s="26">
        <v>96.0</v>
      </c>
      <c r="Y103" s="25">
        <v>96.0</v>
      </c>
      <c r="Z103" s="26">
        <v>35.0</v>
      </c>
      <c r="AA103" s="26">
        <v>35.0</v>
      </c>
      <c r="AB103" s="26">
        <v>35.0</v>
      </c>
      <c r="AC103" s="26">
        <v>35.0</v>
      </c>
      <c r="AD103" s="26">
        <v>35.0</v>
      </c>
      <c r="AE103" s="26">
        <v>35.0</v>
      </c>
      <c r="AF103" s="26">
        <v>35.0</v>
      </c>
      <c r="AG103" s="26">
        <v>35.0</v>
      </c>
      <c r="AH103" s="26">
        <v>35.0</v>
      </c>
      <c r="AI103" s="26">
        <v>35.0</v>
      </c>
      <c r="AJ103" s="26">
        <v>35.0</v>
      </c>
      <c r="AK103" s="26">
        <v>35.0</v>
      </c>
      <c r="AL103" s="26">
        <v>35.0</v>
      </c>
      <c r="AM103" s="26">
        <v>35.0</v>
      </c>
      <c r="AN103" s="26">
        <v>35.0</v>
      </c>
      <c r="AO103" s="26">
        <v>35.0</v>
      </c>
      <c r="AP103" s="26">
        <v>35.0</v>
      </c>
      <c r="AQ103" s="26">
        <v>35.0</v>
      </c>
      <c r="AR103" s="26">
        <v>35.0</v>
      </c>
      <c r="AS103" s="25">
        <v>35.0</v>
      </c>
      <c r="AT103" s="26">
        <v>48.0</v>
      </c>
      <c r="AU103" s="27">
        <v>48.0</v>
      </c>
    </row>
    <row r="104">
      <c r="B104" s="24">
        <v>64.0</v>
      </c>
      <c r="C104" s="25" t="s">
        <v>92</v>
      </c>
      <c r="D104" s="25">
        <v>1.0</v>
      </c>
      <c r="E104" s="25">
        <v>1.0</v>
      </c>
      <c r="F104" s="26">
        <v>98.0</v>
      </c>
      <c r="G104" s="26">
        <v>98.0</v>
      </c>
      <c r="H104" s="26">
        <v>98.0</v>
      </c>
      <c r="I104" s="26">
        <v>98.0</v>
      </c>
      <c r="J104" s="26">
        <v>98.0</v>
      </c>
      <c r="K104" s="26">
        <v>98.0</v>
      </c>
      <c r="L104" s="26">
        <v>98.0</v>
      </c>
      <c r="M104" s="26">
        <v>98.0</v>
      </c>
      <c r="N104" s="26">
        <v>98.0</v>
      </c>
      <c r="O104" s="26">
        <v>98.0</v>
      </c>
      <c r="P104" s="26">
        <v>98.0</v>
      </c>
      <c r="Q104" s="26">
        <v>98.0</v>
      </c>
      <c r="R104" s="26">
        <v>98.0</v>
      </c>
      <c r="S104" s="26">
        <v>98.0</v>
      </c>
      <c r="T104" s="26">
        <v>98.0</v>
      </c>
      <c r="U104" s="26">
        <v>98.0</v>
      </c>
      <c r="V104" s="26">
        <v>98.0</v>
      </c>
      <c r="W104" s="26">
        <v>98.0</v>
      </c>
      <c r="X104" s="26">
        <v>98.0</v>
      </c>
      <c r="Y104" s="25">
        <v>98.0</v>
      </c>
      <c r="Z104" s="26">
        <v>35.0</v>
      </c>
      <c r="AA104" s="26">
        <v>35.0</v>
      </c>
      <c r="AB104" s="26">
        <v>35.0</v>
      </c>
      <c r="AC104" s="26">
        <v>35.0</v>
      </c>
      <c r="AD104" s="26">
        <v>35.0</v>
      </c>
      <c r="AE104" s="26">
        <v>35.0</v>
      </c>
      <c r="AF104" s="26">
        <v>35.0</v>
      </c>
      <c r="AG104" s="26">
        <v>35.0</v>
      </c>
      <c r="AH104" s="26">
        <v>35.0</v>
      </c>
      <c r="AI104" s="26">
        <v>35.0</v>
      </c>
      <c r="AJ104" s="26">
        <v>35.0</v>
      </c>
      <c r="AK104" s="26">
        <v>35.0</v>
      </c>
      <c r="AL104" s="26">
        <v>35.0</v>
      </c>
      <c r="AM104" s="26">
        <v>35.0</v>
      </c>
      <c r="AN104" s="26">
        <v>35.0</v>
      </c>
      <c r="AO104" s="26">
        <v>35.0</v>
      </c>
      <c r="AP104" s="26">
        <v>35.0</v>
      </c>
      <c r="AQ104" s="26">
        <v>35.0</v>
      </c>
      <c r="AR104" s="26">
        <v>35.0</v>
      </c>
      <c r="AS104" s="25">
        <v>35.0</v>
      </c>
      <c r="AT104" s="26">
        <v>48.0</v>
      </c>
      <c r="AU104" s="27">
        <v>48.0</v>
      </c>
    </row>
    <row r="105">
      <c r="B105" s="24">
        <v>65.0</v>
      </c>
      <c r="C105" s="25" t="s">
        <v>93</v>
      </c>
      <c r="D105" s="25">
        <v>1.0</v>
      </c>
      <c r="E105" s="25">
        <v>1.0</v>
      </c>
      <c r="F105" s="26">
        <v>99.0</v>
      </c>
      <c r="G105" s="26">
        <v>99.0</v>
      </c>
      <c r="H105" s="26">
        <v>99.0</v>
      </c>
      <c r="I105" s="26">
        <v>99.0</v>
      </c>
      <c r="J105" s="26">
        <v>99.0</v>
      </c>
      <c r="K105" s="26">
        <v>99.0</v>
      </c>
      <c r="L105" s="26">
        <v>99.0</v>
      </c>
      <c r="M105" s="26">
        <v>99.0</v>
      </c>
      <c r="N105" s="26">
        <v>99.0</v>
      </c>
      <c r="O105" s="26">
        <v>99.0</v>
      </c>
      <c r="P105" s="26">
        <v>99.0</v>
      </c>
      <c r="Q105" s="26">
        <v>99.0</v>
      </c>
      <c r="R105" s="26">
        <v>99.0</v>
      </c>
      <c r="S105" s="26">
        <v>99.0</v>
      </c>
      <c r="T105" s="26">
        <v>99.0</v>
      </c>
      <c r="U105" s="26">
        <v>99.0</v>
      </c>
      <c r="V105" s="26">
        <v>99.0</v>
      </c>
      <c r="W105" s="26">
        <v>99.0</v>
      </c>
      <c r="X105" s="26">
        <v>99.0</v>
      </c>
      <c r="Y105" s="25">
        <v>99.0</v>
      </c>
      <c r="Z105" s="26">
        <v>35.0</v>
      </c>
      <c r="AA105" s="26">
        <v>35.0</v>
      </c>
      <c r="AB105" s="26">
        <v>35.0</v>
      </c>
      <c r="AC105" s="26">
        <v>35.0</v>
      </c>
      <c r="AD105" s="26">
        <v>35.0</v>
      </c>
      <c r="AE105" s="26">
        <v>35.0</v>
      </c>
      <c r="AF105" s="26">
        <v>35.0</v>
      </c>
      <c r="AG105" s="26">
        <v>35.0</v>
      </c>
      <c r="AH105" s="26">
        <v>35.0</v>
      </c>
      <c r="AI105" s="26">
        <v>35.0</v>
      </c>
      <c r="AJ105" s="26">
        <v>35.0</v>
      </c>
      <c r="AK105" s="26">
        <v>35.0</v>
      </c>
      <c r="AL105" s="26">
        <v>35.0</v>
      </c>
      <c r="AM105" s="26">
        <v>35.0</v>
      </c>
      <c r="AN105" s="26">
        <v>35.0</v>
      </c>
      <c r="AO105" s="26">
        <v>35.0</v>
      </c>
      <c r="AP105" s="26">
        <v>35.0</v>
      </c>
      <c r="AQ105" s="26">
        <v>35.0</v>
      </c>
      <c r="AR105" s="26">
        <v>35.0</v>
      </c>
      <c r="AS105" s="25">
        <v>35.0</v>
      </c>
      <c r="AT105" s="26">
        <v>48.0</v>
      </c>
      <c r="AU105" s="27">
        <v>48.0</v>
      </c>
    </row>
    <row r="106">
      <c r="B106" s="24">
        <v>66.0</v>
      </c>
      <c r="C106" s="25" t="s">
        <v>94</v>
      </c>
      <c r="D106" s="25">
        <v>1.0</v>
      </c>
      <c r="E106" s="25">
        <v>1.0</v>
      </c>
      <c r="F106" s="26">
        <v>100.0</v>
      </c>
      <c r="G106" s="26">
        <v>100.0</v>
      </c>
      <c r="H106" s="26">
        <v>100.0</v>
      </c>
      <c r="I106" s="26">
        <v>100.0</v>
      </c>
      <c r="J106" s="26">
        <v>100.0</v>
      </c>
      <c r="K106" s="26">
        <v>100.0</v>
      </c>
      <c r="L106" s="26">
        <v>97.0</v>
      </c>
      <c r="M106" s="26">
        <v>100.0</v>
      </c>
      <c r="N106" s="26">
        <v>100.0</v>
      </c>
      <c r="O106" s="26">
        <v>100.0</v>
      </c>
      <c r="P106" s="26">
        <v>100.0</v>
      </c>
      <c r="Q106" s="26">
        <v>100.0</v>
      </c>
      <c r="R106" s="26">
        <v>100.0</v>
      </c>
      <c r="S106" s="26">
        <v>100.0</v>
      </c>
      <c r="T106" s="26">
        <v>100.0</v>
      </c>
      <c r="U106" s="26">
        <v>100.0</v>
      </c>
      <c r="V106" s="26">
        <v>100.0</v>
      </c>
      <c r="W106" s="26">
        <v>100.0</v>
      </c>
      <c r="X106" s="26">
        <v>100.0</v>
      </c>
      <c r="Y106" s="25">
        <v>100.0</v>
      </c>
      <c r="Z106" s="26">
        <v>35.0</v>
      </c>
      <c r="AA106" s="26">
        <v>35.0</v>
      </c>
      <c r="AB106" s="26">
        <v>35.0</v>
      </c>
      <c r="AC106" s="26">
        <v>35.0</v>
      </c>
      <c r="AD106" s="26">
        <v>35.0</v>
      </c>
      <c r="AE106" s="26">
        <v>35.0</v>
      </c>
      <c r="AF106" s="26">
        <v>36.0</v>
      </c>
      <c r="AG106" s="26">
        <v>35.0</v>
      </c>
      <c r="AH106" s="26">
        <v>35.0</v>
      </c>
      <c r="AI106" s="26">
        <v>35.0</v>
      </c>
      <c r="AJ106" s="26">
        <v>35.0</v>
      </c>
      <c r="AK106" s="26">
        <v>35.0</v>
      </c>
      <c r="AL106" s="26">
        <v>36.0</v>
      </c>
      <c r="AM106" s="26">
        <v>35.0</v>
      </c>
      <c r="AN106" s="26">
        <v>35.0</v>
      </c>
      <c r="AO106" s="26">
        <v>35.0</v>
      </c>
      <c r="AP106" s="26">
        <v>35.0</v>
      </c>
      <c r="AQ106" s="26">
        <v>35.0</v>
      </c>
      <c r="AR106" s="26">
        <v>35.0</v>
      </c>
      <c r="AS106" s="25">
        <v>35.0</v>
      </c>
      <c r="AT106" s="26">
        <v>48.0</v>
      </c>
      <c r="AU106" s="27">
        <v>48.0</v>
      </c>
    </row>
    <row r="107">
      <c r="B107" s="24">
        <v>67.0</v>
      </c>
      <c r="C107" s="25" t="s">
        <v>95</v>
      </c>
      <c r="D107" s="25">
        <v>1.0</v>
      </c>
      <c r="E107" s="25">
        <v>1.0</v>
      </c>
      <c r="F107" s="26">
        <v>101.0</v>
      </c>
      <c r="G107" s="26">
        <v>101.0</v>
      </c>
      <c r="H107" s="26">
        <v>101.0</v>
      </c>
      <c r="I107" s="26">
        <v>101.0</v>
      </c>
      <c r="J107" s="26">
        <v>101.0</v>
      </c>
      <c r="K107" s="26">
        <v>101.0</v>
      </c>
      <c r="L107" s="26">
        <v>97.0</v>
      </c>
      <c r="M107" s="26">
        <v>101.0</v>
      </c>
      <c r="N107" s="26">
        <v>101.0</v>
      </c>
      <c r="O107" s="26">
        <v>101.0</v>
      </c>
      <c r="P107" s="26">
        <v>101.0</v>
      </c>
      <c r="Q107" s="26">
        <v>101.0</v>
      </c>
      <c r="R107" s="26">
        <v>101.0</v>
      </c>
      <c r="S107" s="26">
        <v>101.0</v>
      </c>
      <c r="T107" s="26">
        <v>101.0</v>
      </c>
      <c r="U107" s="26">
        <v>101.0</v>
      </c>
      <c r="V107" s="26">
        <v>101.0</v>
      </c>
      <c r="W107" s="26">
        <v>101.0</v>
      </c>
      <c r="X107" s="26">
        <v>101.0</v>
      </c>
      <c r="Y107" s="25">
        <v>101.0</v>
      </c>
      <c r="Z107" s="26">
        <v>35.0</v>
      </c>
      <c r="AA107" s="26">
        <v>35.0</v>
      </c>
      <c r="AB107" s="26">
        <v>35.0</v>
      </c>
      <c r="AC107" s="26">
        <v>35.0</v>
      </c>
      <c r="AD107" s="26">
        <v>35.0</v>
      </c>
      <c r="AE107" s="26">
        <v>35.0</v>
      </c>
      <c r="AF107" s="26">
        <v>36.0</v>
      </c>
      <c r="AG107" s="26">
        <v>35.0</v>
      </c>
      <c r="AH107" s="26">
        <v>35.0</v>
      </c>
      <c r="AI107" s="26">
        <v>35.0</v>
      </c>
      <c r="AJ107" s="26">
        <v>35.0</v>
      </c>
      <c r="AK107" s="26">
        <v>35.0</v>
      </c>
      <c r="AL107" s="26">
        <v>36.0</v>
      </c>
      <c r="AM107" s="26">
        <v>35.0</v>
      </c>
      <c r="AN107" s="26">
        <v>35.0</v>
      </c>
      <c r="AO107" s="26">
        <v>35.0</v>
      </c>
      <c r="AP107" s="26">
        <v>35.0</v>
      </c>
      <c r="AQ107" s="26">
        <v>35.0</v>
      </c>
      <c r="AR107" s="26">
        <v>35.0</v>
      </c>
      <c r="AS107" s="25">
        <v>35.0</v>
      </c>
      <c r="AT107" s="26">
        <v>48.0</v>
      </c>
      <c r="AU107" s="27">
        <v>48.0</v>
      </c>
    </row>
    <row r="108">
      <c r="B108" s="24">
        <v>68.0</v>
      </c>
      <c r="C108" s="25" t="s">
        <v>96</v>
      </c>
      <c r="D108" s="25">
        <v>1.0</v>
      </c>
      <c r="E108" s="25">
        <v>0.0</v>
      </c>
      <c r="F108" s="26">
        <v>102.0</v>
      </c>
      <c r="G108" s="26">
        <v>102.0</v>
      </c>
      <c r="H108" s="26">
        <v>102.0</v>
      </c>
      <c r="I108" s="26">
        <v>102.0</v>
      </c>
      <c r="J108" s="26">
        <v>102.0</v>
      </c>
      <c r="K108" s="26">
        <v>102.0</v>
      </c>
      <c r="L108" s="26">
        <v>102.0</v>
      </c>
      <c r="M108" s="26">
        <v>102.0</v>
      </c>
      <c r="N108" s="26">
        <v>102.0</v>
      </c>
      <c r="O108" s="26">
        <v>102.0</v>
      </c>
      <c r="P108" s="26">
        <v>102.0</v>
      </c>
      <c r="Q108" s="26">
        <v>102.0</v>
      </c>
      <c r="R108" s="26">
        <v>102.0</v>
      </c>
      <c r="S108" s="26">
        <v>102.0</v>
      </c>
      <c r="T108" s="26">
        <v>102.0</v>
      </c>
      <c r="U108" s="26">
        <v>102.0</v>
      </c>
      <c r="V108" s="26">
        <v>102.0</v>
      </c>
      <c r="W108" s="26">
        <v>102.0</v>
      </c>
      <c r="X108" s="26">
        <v>102.0</v>
      </c>
      <c r="Y108" s="25">
        <v>102.0</v>
      </c>
      <c r="Z108" s="26">
        <v>39.0</v>
      </c>
      <c r="AA108" s="26">
        <v>39.0</v>
      </c>
      <c r="AB108" s="26">
        <v>39.0</v>
      </c>
      <c r="AC108" s="26">
        <v>39.0</v>
      </c>
      <c r="AD108" s="26">
        <v>39.0</v>
      </c>
      <c r="AE108" s="26">
        <v>39.0</v>
      </c>
      <c r="AF108" s="26">
        <v>39.0</v>
      </c>
      <c r="AG108" s="26">
        <v>39.0</v>
      </c>
      <c r="AH108" s="26">
        <v>39.0</v>
      </c>
      <c r="AI108" s="26">
        <v>39.0</v>
      </c>
      <c r="AJ108" s="26">
        <v>39.0</v>
      </c>
      <c r="AK108" s="26">
        <v>39.0</v>
      </c>
      <c r="AL108" s="26">
        <v>39.0</v>
      </c>
      <c r="AM108" s="26">
        <v>39.0</v>
      </c>
      <c r="AN108" s="26">
        <v>39.0</v>
      </c>
      <c r="AO108" s="26">
        <v>39.0</v>
      </c>
      <c r="AP108" s="26">
        <v>39.0</v>
      </c>
      <c r="AQ108" s="26">
        <v>39.0</v>
      </c>
      <c r="AR108" s="26">
        <v>39.0</v>
      </c>
      <c r="AS108" s="25">
        <v>39.0</v>
      </c>
      <c r="AT108" s="26">
        <v>48.0</v>
      </c>
      <c r="AU108" s="27">
        <v>48.0</v>
      </c>
    </row>
    <row r="109">
      <c r="B109" s="24">
        <v>69.0</v>
      </c>
      <c r="C109" s="25" t="s">
        <v>97</v>
      </c>
      <c r="D109" s="25">
        <v>0.0</v>
      </c>
      <c r="E109" s="25">
        <v>0.0</v>
      </c>
      <c r="F109" s="26">
        <v>103.0</v>
      </c>
      <c r="G109" s="26">
        <v>103.0</v>
      </c>
      <c r="H109" s="26">
        <v>103.0</v>
      </c>
      <c r="I109" s="26">
        <v>103.0</v>
      </c>
      <c r="J109" s="26">
        <v>103.0</v>
      </c>
      <c r="K109" s="26">
        <v>103.0</v>
      </c>
      <c r="L109" s="26">
        <v>103.0</v>
      </c>
      <c r="M109" s="26">
        <v>103.0</v>
      </c>
      <c r="N109" s="26">
        <v>103.0</v>
      </c>
      <c r="O109" s="26">
        <v>103.0</v>
      </c>
      <c r="P109" s="26">
        <v>103.0</v>
      </c>
      <c r="Q109" s="26">
        <v>103.0</v>
      </c>
      <c r="R109" s="26">
        <v>103.0</v>
      </c>
      <c r="S109" s="26">
        <v>103.0</v>
      </c>
      <c r="T109" s="26">
        <v>103.0</v>
      </c>
      <c r="U109" s="26">
        <v>103.0</v>
      </c>
      <c r="V109" s="26">
        <v>103.0</v>
      </c>
      <c r="W109" s="26">
        <v>103.0</v>
      </c>
      <c r="X109" s="26">
        <v>103.0</v>
      </c>
      <c r="Y109" s="25">
        <v>103.0</v>
      </c>
      <c r="Z109" s="26">
        <v>35.0</v>
      </c>
      <c r="AA109" s="26">
        <v>35.0</v>
      </c>
      <c r="AB109" s="26">
        <v>35.0</v>
      </c>
      <c r="AC109" s="26">
        <v>35.0</v>
      </c>
      <c r="AD109" s="26">
        <v>35.0</v>
      </c>
      <c r="AE109" s="26">
        <v>35.0</v>
      </c>
      <c r="AF109" s="26">
        <v>35.0</v>
      </c>
      <c r="AG109" s="26">
        <v>35.0</v>
      </c>
      <c r="AH109" s="26">
        <v>35.0</v>
      </c>
      <c r="AI109" s="26">
        <v>35.0</v>
      </c>
      <c r="AJ109" s="26">
        <v>35.0</v>
      </c>
      <c r="AK109" s="26">
        <v>35.0</v>
      </c>
      <c r="AL109" s="26">
        <v>35.0</v>
      </c>
      <c r="AM109" s="26">
        <v>35.0</v>
      </c>
      <c r="AN109" s="26">
        <v>35.0</v>
      </c>
      <c r="AO109" s="26">
        <v>35.0</v>
      </c>
      <c r="AP109" s="26">
        <v>35.0</v>
      </c>
      <c r="AQ109" s="26">
        <v>35.0</v>
      </c>
      <c r="AR109" s="26">
        <v>35.0</v>
      </c>
      <c r="AS109" s="25">
        <v>35.0</v>
      </c>
      <c r="AT109" s="26">
        <v>48.0</v>
      </c>
      <c r="AU109" s="27">
        <v>48.0</v>
      </c>
    </row>
    <row r="110">
      <c r="B110" s="24">
        <v>70.0</v>
      </c>
      <c r="C110" s="25" t="s">
        <v>98</v>
      </c>
      <c r="D110" s="25">
        <v>0.0</v>
      </c>
      <c r="E110" s="25">
        <v>0.0</v>
      </c>
      <c r="F110" s="26">
        <v>104.0</v>
      </c>
      <c r="G110" s="26">
        <v>104.0</v>
      </c>
      <c r="H110" s="26">
        <v>104.0</v>
      </c>
      <c r="I110" s="26">
        <v>104.0</v>
      </c>
      <c r="J110" s="26">
        <v>104.0</v>
      </c>
      <c r="K110" s="26">
        <v>104.0</v>
      </c>
      <c r="L110" s="26">
        <v>104.0</v>
      </c>
      <c r="M110" s="26">
        <v>104.0</v>
      </c>
      <c r="N110" s="26">
        <v>104.0</v>
      </c>
      <c r="O110" s="26">
        <v>104.0</v>
      </c>
      <c r="P110" s="26">
        <v>104.0</v>
      </c>
      <c r="Q110" s="26">
        <v>104.0</v>
      </c>
      <c r="R110" s="26">
        <v>104.0</v>
      </c>
      <c r="S110" s="26">
        <v>104.0</v>
      </c>
      <c r="T110" s="26">
        <v>104.0</v>
      </c>
      <c r="U110" s="26">
        <v>104.0</v>
      </c>
      <c r="V110" s="26">
        <v>104.0</v>
      </c>
      <c r="W110" s="26">
        <v>104.0</v>
      </c>
      <c r="X110" s="26">
        <v>104.0</v>
      </c>
      <c r="Y110" s="25">
        <v>104.0</v>
      </c>
      <c r="Z110" s="26">
        <v>35.0</v>
      </c>
      <c r="AA110" s="26">
        <v>35.0</v>
      </c>
      <c r="AB110" s="26">
        <v>35.0</v>
      </c>
      <c r="AC110" s="26">
        <v>35.0</v>
      </c>
      <c r="AD110" s="26">
        <v>35.0</v>
      </c>
      <c r="AE110" s="26">
        <v>35.0</v>
      </c>
      <c r="AF110" s="26">
        <v>36.0</v>
      </c>
      <c r="AG110" s="26">
        <v>35.0</v>
      </c>
      <c r="AH110" s="26">
        <v>35.0</v>
      </c>
      <c r="AI110" s="26">
        <v>35.0</v>
      </c>
      <c r="AJ110" s="26">
        <v>35.0</v>
      </c>
      <c r="AK110" s="26">
        <v>35.0</v>
      </c>
      <c r="AL110" s="26">
        <v>35.0</v>
      </c>
      <c r="AM110" s="26">
        <v>35.0</v>
      </c>
      <c r="AN110" s="26">
        <v>35.0</v>
      </c>
      <c r="AO110" s="26">
        <v>35.0</v>
      </c>
      <c r="AP110" s="26">
        <v>35.0</v>
      </c>
      <c r="AQ110" s="26">
        <v>35.0</v>
      </c>
      <c r="AR110" s="26">
        <v>35.0</v>
      </c>
      <c r="AS110" s="25">
        <v>35.0</v>
      </c>
      <c r="AT110" s="26">
        <v>48.0</v>
      </c>
      <c r="AU110" s="27">
        <v>48.0</v>
      </c>
    </row>
    <row r="111">
      <c r="B111" s="24">
        <v>71.0</v>
      </c>
      <c r="C111" s="25" t="s">
        <v>99</v>
      </c>
      <c r="D111" s="25">
        <v>1.0</v>
      </c>
      <c r="E111" s="25">
        <v>1.0</v>
      </c>
      <c r="F111" s="26">
        <v>105.0</v>
      </c>
      <c r="G111" s="26">
        <v>105.0</v>
      </c>
      <c r="H111" s="26">
        <v>105.0</v>
      </c>
      <c r="I111" s="26">
        <v>105.0</v>
      </c>
      <c r="J111" s="26">
        <v>105.0</v>
      </c>
      <c r="K111" s="26">
        <v>105.0</v>
      </c>
      <c r="L111" s="26">
        <v>105.0</v>
      </c>
      <c r="M111" s="26">
        <v>105.0</v>
      </c>
      <c r="N111" s="26">
        <v>105.0</v>
      </c>
      <c r="O111" s="26">
        <v>105.0</v>
      </c>
      <c r="P111" s="26">
        <v>105.0</v>
      </c>
      <c r="Q111" s="26">
        <v>105.0</v>
      </c>
      <c r="R111" s="26">
        <v>105.0</v>
      </c>
      <c r="S111" s="26">
        <v>105.0</v>
      </c>
      <c r="T111" s="26">
        <v>105.0</v>
      </c>
      <c r="U111" s="26">
        <v>105.0</v>
      </c>
      <c r="V111" s="26">
        <v>105.0</v>
      </c>
      <c r="W111" s="26">
        <v>105.0</v>
      </c>
      <c r="X111" s="26">
        <v>105.0</v>
      </c>
      <c r="Y111" s="25">
        <v>105.0</v>
      </c>
      <c r="Z111" s="26">
        <v>35.0</v>
      </c>
      <c r="AA111" s="26">
        <v>35.0</v>
      </c>
      <c r="AB111" s="26">
        <v>35.0</v>
      </c>
      <c r="AC111" s="26">
        <v>35.0</v>
      </c>
      <c r="AD111" s="26">
        <v>35.0</v>
      </c>
      <c r="AE111" s="26">
        <v>35.0</v>
      </c>
      <c r="AF111" s="26">
        <v>36.0</v>
      </c>
      <c r="AG111" s="26">
        <v>35.0</v>
      </c>
      <c r="AH111" s="26">
        <v>35.0</v>
      </c>
      <c r="AI111" s="26">
        <v>35.0</v>
      </c>
      <c r="AJ111" s="26">
        <v>35.0</v>
      </c>
      <c r="AK111" s="26">
        <v>35.0</v>
      </c>
      <c r="AL111" s="26">
        <v>35.0</v>
      </c>
      <c r="AM111" s="26">
        <v>35.0</v>
      </c>
      <c r="AN111" s="26">
        <v>35.0</v>
      </c>
      <c r="AO111" s="26">
        <v>35.0</v>
      </c>
      <c r="AP111" s="26">
        <v>35.0</v>
      </c>
      <c r="AQ111" s="26">
        <v>35.0</v>
      </c>
      <c r="AR111" s="26">
        <v>35.0</v>
      </c>
      <c r="AS111" s="25">
        <v>35.0</v>
      </c>
      <c r="AT111" s="26">
        <v>48.0</v>
      </c>
      <c r="AU111" s="27">
        <v>48.0</v>
      </c>
    </row>
    <row r="112">
      <c r="B112" s="24">
        <v>72.0</v>
      </c>
      <c r="C112" s="25" t="s">
        <v>100</v>
      </c>
      <c r="D112" s="25">
        <v>1.0</v>
      </c>
      <c r="E112" s="25">
        <v>0.0</v>
      </c>
      <c r="F112" s="26">
        <v>106.0</v>
      </c>
      <c r="G112" s="26">
        <v>106.0</v>
      </c>
      <c r="H112" s="26">
        <v>106.0</v>
      </c>
      <c r="I112" s="26">
        <v>106.0</v>
      </c>
      <c r="J112" s="26">
        <v>106.0</v>
      </c>
      <c r="K112" s="26">
        <v>106.0</v>
      </c>
      <c r="L112" s="26">
        <v>106.0</v>
      </c>
      <c r="M112" s="26">
        <v>106.0</v>
      </c>
      <c r="N112" s="26">
        <v>106.0</v>
      </c>
      <c r="O112" s="26">
        <v>106.0</v>
      </c>
      <c r="P112" s="26">
        <v>106.0</v>
      </c>
      <c r="Q112" s="26">
        <v>106.0</v>
      </c>
      <c r="R112" s="26">
        <v>106.0</v>
      </c>
      <c r="S112" s="26">
        <v>106.0</v>
      </c>
      <c r="T112" s="26">
        <v>106.0</v>
      </c>
      <c r="U112" s="26">
        <v>106.0</v>
      </c>
      <c r="V112" s="26">
        <v>106.0</v>
      </c>
      <c r="W112" s="26">
        <v>106.0</v>
      </c>
      <c r="X112" s="26">
        <v>106.0</v>
      </c>
      <c r="Y112" s="25">
        <v>106.0</v>
      </c>
      <c r="Z112" s="26">
        <v>35.0</v>
      </c>
      <c r="AA112" s="26">
        <v>35.0</v>
      </c>
      <c r="AB112" s="26">
        <v>35.0</v>
      </c>
      <c r="AC112" s="26">
        <v>35.0</v>
      </c>
      <c r="AD112" s="26">
        <v>35.0</v>
      </c>
      <c r="AE112" s="26">
        <v>35.0</v>
      </c>
      <c r="AF112" s="26">
        <v>36.0</v>
      </c>
      <c r="AG112" s="26">
        <v>35.0</v>
      </c>
      <c r="AH112" s="26">
        <v>35.0</v>
      </c>
      <c r="AI112" s="26">
        <v>35.0</v>
      </c>
      <c r="AJ112" s="26">
        <v>35.0</v>
      </c>
      <c r="AK112" s="26">
        <v>35.0</v>
      </c>
      <c r="AL112" s="26">
        <v>35.0</v>
      </c>
      <c r="AM112" s="26">
        <v>35.0</v>
      </c>
      <c r="AN112" s="26">
        <v>35.0</v>
      </c>
      <c r="AO112" s="26">
        <v>35.0</v>
      </c>
      <c r="AP112" s="26">
        <v>35.0</v>
      </c>
      <c r="AQ112" s="26">
        <v>35.0</v>
      </c>
      <c r="AR112" s="26">
        <v>35.0</v>
      </c>
      <c r="AS112" s="25">
        <v>35.0</v>
      </c>
      <c r="AT112" s="26">
        <v>48.0</v>
      </c>
      <c r="AU112" s="27">
        <v>48.0</v>
      </c>
    </row>
    <row r="113">
      <c r="B113" s="24">
        <v>73.0</v>
      </c>
      <c r="C113" s="25" t="s">
        <v>101</v>
      </c>
      <c r="D113" s="25">
        <v>1.0</v>
      </c>
      <c r="E113" s="25">
        <v>1.0</v>
      </c>
      <c r="F113" s="26">
        <v>107.0</v>
      </c>
      <c r="G113" s="26">
        <v>107.0</v>
      </c>
      <c r="H113" s="26">
        <v>107.0</v>
      </c>
      <c r="I113" s="26">
        <v>107.0</v>
      </c>
      <c r="J113" s="26">
        <v>107.0</v>
      </c>
      <c r="K113" s="26">
        <v>107.0</v>
      </c>
      <c r="L113" s="26">
        <v>107.0</v>
      </c>
      <c r="M113" s="26">
        <v>107.0</v>
      </c>
      <c r="N113" s="26">
        <v>107.0</v>
      </c>
      <c r="O113" s="26">
        <v>107.0</v>
      </c>
      <c r="P113" s="26">
        <v>107.0</v>
      </c>
      <c r="Q113" s="26">
        <v>107.0</v>
      </c>
      <c r="R113" s="26">
        <v>107.0</v>
      </c>
      <c r="S113" s="26">
        <v>107.0</v>
      </c>
      <c r="T113" s="26">
        <v>107.0</v>
      </c>
      <c r="U113" s="26">
        <v>107.0</v>
      </c>
      <c r="V113" s="26">
        <v>107.0</v>
      </c>
      <c r="W113" s="26">
        <v>107.0</v>
      </c>
      <c r="X113" s="26">
        <v>107.0</v>
      </c>
      <c r="Y113" s="25">
        <v>107.0</v>
      </c>
      <c r="Z113" s="26">
        <v>35.0</v>
      </c>
      <c r="AA113" s="26">
        <v>35.0</v>
      </c>
      <c r="AB113" s="26">
        <v>35.0</v>
      </c>
      <c r="AC113" s="26">
        <v>35.0</v>
      </c>
      <c r="AD113" s="26">
        <v>35.0</v>
      </c>
      <c r="AE113" s="26">
        <v>35.0</v>
      </c>
      <c r="AF113" s="26">
        <v>36.0</v>
      </c>
      <c r="AG113" s="26">
        <v>35.0</v>
      </c>
      <c r="AH113" s="26">
        <v>35.0</v>
      </c>
      <c r="AI113" s="26">
        <v>35.0</v>
      </c>
      <c r="AJ113" s="26">
        <v>35.0</v>
      </c>
      <c r="AK113" s="26">
        <v>35.0</v>
      </c>
      <c r="AL113" s="26">
        <v>35.0</v>
      </c>
      <c r="AM113" s="26">
        <v>35.0</v>
      </c>
      <c r="AN113" s="26">
        <v>35.0</v>
      </c>
      <c r="AO113" s="26">
        <v>35.0</v>
      </c>
      <c r="AP113" s="26">
        <v>35.0</v>
      </c>
      <c r="AQ113" s="26">
        <v>35.0</v>
      </c>
      <c r="AR113" s="26">
        <v>35.0</v>
      </c>
      <c r="AS113" s="25">
        <v>35.0</v>
      </c>
      <c r="AT113" s="26">
        <v>48.0</v>
      </c>
      <c r="AU113" s="27">
        <v>48.0</v>
      </c>
    </row>
    <row r="114">
      <c r="B114" s="24">
        <v>74.0</v>
      </c>
      <c r="C114" s="25" t="s">
        <v>102</v>
      </c>
      <c r="D114" s="25">
        <v>1.0</v>
      </c>
      <c r="E114" s="25">
        <v>1.0</v>
      </c>
      <c r="F114" s="26">
        <v>108.0</v>
      </c>
      <c r="G114" s="26">
        <v>108.0</v>
      </c>
      <c r="H114" s="26">
        <v>108.0</v>
      </c>
      <c r="I114" s="26">
        <v>108.0</v>
      </c>
      <c r="J114" s="26">
        <v>108.0</v>
      </c>
      <c r="K114" s="26">
        <v>108.0</v>
      </c>
      <c r="L114" s="26">
        <v>108.0</v>
      </c>
      <c r="M114" s="26">
        <v>108.0</v>
      </c>
      <c r="N114" s="26">
        <v>108.0</v>
      </c>
      <c r="O114" s="26">
        <v>108.0</v>
      </c>
      <c r="P114" s="26">
        <v>108.0</v>
      </c>
      <c r="Q114" s="26">
        <v>108.0</v>
      </c>
      <c r="R114" s="26">
        <v>108.0</v>
      </c>
      <c r="S114" s="26">
        <v>108.0</v>
      </c>
      <c r="T114" s="26">
        <v>108.0</v>
      </c>
      <c r="U114" s="26">
        <v>108.0</v>
      </c>
      <c r="V114" s="26">
        <v>108.0</v>
      </c>
      <c r="W114" s="26">
        <v>108.0</v>
      </c>
      <c r="X114" s="26">
        <v>108.0</v>
      </c>
      <c r="Y114" s="25">
        <v>108.0</v>
      </c>
      <c r="Z114" s="26">
        <v>35.0</v>
      </c>
      <c r="AA114" s="26">
        <v>35.0</v>
      </c>
      <c r="AB114" s="26">
        <v>35.0</v>
      </c>
      <c r="AC114" s="26">
        <v>35.0</v>
      </c>
      <c r="AD114" s="26">
        <v>35.0</v>
      </c>
      <c r="AE114" s="26">
        <v>35.0</v>
      </c>
      <c r="AF114" s="26">
        <v>36.0</v>
      </c>
      <c r="AG114" s="26">
        <v>35.0</v>
      </c>
      <c r="AH114" s="26">
        <v>35.0</v>
      </c>
      <c r="AI114" s="26">
        <v>35.0</v>
      </c>
      <c r="AJ114" s="26">
        <v>35.0</v>
      </c>
      <c r="AK114" s="26">
        <v>35.0</v>
      </c>
      <c r="AL114" s="26">
        <v>35.0</v>
      </c>
      <c r="AM114" s="26">
        <v>35.0</v>
      </c>
      <c r="AN114" s="26">
        <v>35.0</v>
      </c>
      <c r="AO114" s="26">
        <v>35.0</v>
      </c>
      <c r="AP114" s="26">
        <v>35.0</v>
      </c>
      <c r="AQ114" s="26">
        <v>35.0</v>
      </c>
      <c r="AR114" s="26">
        <v>35.0</v>
      </c>
      <c r="AS114" s="25">
        <v>35.0</v>
      </c>
      <c r="AT114" s="26">
        <v>48.0</v>
      </c>
      <c r="AU114" s="27">
        <v>48.0</v>
      </c>
    </row>
    <row r="115">
      <c r="B115" s="24">
        <v>75.0</v>
      </c>
      <c r="C115" s="25" t="s">
        <v>103</v>
      </c>
      <c r="D115" s="25">
        <v>0.0</v>
      </c>
      <c r="E115" s="25">
        <v>0.0</v>
      </c>
      <c r="F115" s="26">
        <v>109.0</v>
      </c>
      <c r="G115" s="26">
        <v>109.0</v>
      </c>
      <c r="H115" s="26">
        <v>109.0</v>
      </c>
      <c r="I115" s="26">
        <v>109.0</v>
      </c>
      <c r="J115" s="26">
        <v>109.0</v>
      </c>
      <c r="K115" s="26">
        <v>109.0</v>
      </c>
      <c r="L115" s="26">
        <v>109.0</v>
      </c>
      <c r="M115" s="26">
        <v>109.0</v>
      </c>
      <c r="N115" s="26">
        <v>109.0</v>
      </c>
      <c r="O115" s="26">
        <v>109.0</v>
      </c>
      <c r="P115" s="26">
        <v>109.0</v>
      </c>
      <c r="Q115" s="26">
        <v>109.0</v>
      </c>
      <c r="R115" s="26">
        <v>109.0</v>
      </c>
      <c r="S115" s="26">
        <v>109.0</v>
      </c>
      <c r="T115" s="26">
        <v>109.0</v>
      </c>
      <c r="U115" s="26">
        <v>109.0</v>
      </c>
      <c r="V115" s="26">
        <v>109.0</v>
      </c>
      <c r="W115" s="26">
        <v>109.0</v>
      </c>
      <c r="X115" s="26">
        <v>109.0</v>
      </c>
      <c r="Y115" s="25">
        <v>109.0</v>
      </c>
      <c r="Z115" s="26">
        <v>40.0</v>
      </c>
      <c r="AA115" s="26">
        <v>40.0</v>
      </c>
      <c r="AB115" s="26">
        <v>40.0</v>
      </c>
      <c r="AC115" s="26">
        <v>40.0</v>
      </c>
      <c r="AD115" s="26">
        <v>40.0</v>
      </c>
      <c r="AE115" s="26">
        <v>40.0</v>
      </c>
      <c r="AF115" s="26">
        <v>36.0</v>
      </c>
      <c r="AG115" s="26">
        <v>40.0</v>
      </c>
      <c r="AH115" s="26">
        <v>40.0</v>
      </c>
      <c r="AI115" s="26">
        <v>40.0</v>
      </c>
      <c r="AJ115" s="26">
        <v>40.0</v>
      </c>
      <c r="AK115" s="26">
        <v>40.0</v>
      </c>
      <c r="AL115" s="26">
        <v>40.0</v>
      </c>
      <c r="AM115" s="26">
        <v>40.0</v>
      </c>
      <c r="AN115" s="26">
        <v>40.0</v>
      </c>
      <c r="AO115" s="26">
        <v>40.0</v>
      </c>
      <c r="AP115" s="26">
        <v>40.0</v>
      </c>
      <c r="AQ115" s="26">
        <v>40.0</v>
      </c>
      <c r="AR115" s="26">
        <v>40.0</v>
      </c>
      <c r="AS115" s="25">
        <v>40.0</v>
      </c>
      <c r="AT115" s="26">
        <v>48.0</v>
      </c>
      <c r="AU115" s="27">
        <v>48.0</v>
      </c>
    </row>
    <row r="116">
      <c r="B116" s="24">
        <v>76.0</v>
      </c>
      <c r="C116" s="25" t="s">
        <v>104</v>
      </c>
      <c r="D116" s="25">
        <v>0.0</v>
      </c>
      <c r="E116" s="25">
        <v>0.0</v>
      </c>
      <c r="F116" s="26">
        <v>110.0</v>
      </c>
      <c r="G116" s="26">
        <v>110.0</v>
      </c>
      <c r="H116" s="26">
        <v>110.0</v>
      </c>
      <c r="I116" s="26">
        <v>110.0</v>
      </c>
      <c r="J116" s="26">
        <v>110.0</v>
      </c>
      <c r="K116" s="26">
        <v>110.0</v>
      </c>
      <c r="L116" s="26">
        <v>110.0</v>
      </c>
      <c r="M116" s="26">
        <v>110.0</v>
      </c>
      <c r="N116" s="26">
        <v>110.0</v>
      </c>
      <c r="O116" s="26">
        <v>110.0</v>
      </c>
      <c r="P116" s="26">
        <v>110.0</v>
      </c>
      <c r="Q116" s="26">
        <v>110.0</v>
      </c>
      <c r="R116" s="26">
        <v>110.0</v>
      </c>
      <c r="S116" s="26">
        <v>110.0</v>
      </c>
      <c r="T116" s="26">
        <v>110.0</v>
      </c>
      <c r="U116" s="26">
        <v>110.0</v>
      </c>
      <c r="V116" s="26">
        <v>110.0</v>
      </c>
      <c r="W116" s="26">
        <v>110.0</v>
      </c>
      <c r="X116" s="26">
        <v>110.0</v>
      </c>
      <c r="Y116" s="25">
        <v>110.0</v>
      </c>
      <c r="Z116" s="26">
        <v>35.0</v>
      </c>
      <c r="AA116" s="26">
        <v>35.0</v>
      </c>
      <c r="AB116" s="26">
        <v>35.0</v>
      </c>
      <c r="AC116" s="26">
        <v>35.0</v>
      </c>
      <c r="AD116" s="26">
        <v>35.0</v>
      </c>
      <c r="AE116" s="26">
        <v>35.0</v>
      </c>
      <c r="AF116" s="26">
        <v>36.0</v>
      </c>
      <c r="AG116" s="26">
        <v>35.0</v>
      </c>
      <c r="AH116" s="26">
        <v>35.0</v>
      </c>
      <c r="AI116" s="26">
        <v>35.0</v>
      </c>
      <c r="AJ116" s="26">
        <v>35.0</v>
      </c>
      <c r="AK116" s="26">
        <v>35.0</v>
      </c>
      <c r="AL116" s="26">
        <v>35.0</v>
      </c>
      <c r="AM116" s="26">
        <v>35.0</v>
      </c>
      <c r="AN116" s="26">
        <v>35.0</v>
      </c>
      <c r="AO116" s="26">
        <v>35.0</v>
      </c>
      <c r="AP116" s="26">
        <v>35.0</v>
      </c>
      <c r="AQ116" s="26">
        <v>35.0</v>
      </c>
      <c r="AR116" s="26">
        <v>35.0</v>
      </c>
      <c r="AS116" s="25">
        <v>35.0</v>
      </c>
      <c r="AT116" s="26">
        <v>48.0</v>
      </c>
      <c r="AU116" s="27">
        <v>48.0</v>
      </c>
    </row>
    <row r="117">
      <c r="B117" s="24">
        <v>77.0</v>
      </c>
      <c r="C117" s="25" t="s">
        <v>105</v>
      </c>
      <c r="D117" s="25">
        <v>1.0</v>
      </c>
      <c r="E117" s="25">
        <v>0.0</v>
      </c>
      <c r="F117" s="26">
        <v>111.0</v>
      </c>
      <c r="G117" s="26">
        <v>111.0</v>
      </c>
      <c r="H117" s="26">
        <v>111.0</v>
      </c>
      <c r="I117" s="26">
        <v>111.0</v>
      </c>
      <c r="J117" s="26">
        <v>111.0</v>
      </c>
      <c r="K117" s="26">
        <v>111.0</v>
      </c>
      <c r="L117" s="26">
        <v>111.0</v>
      </c>
      <c r="M117" s="26">
        <v>111.0</v>
      </c>
      <c r="N117" s="26">
        <v>111.0</v>
      </c>
      <c r="O117" s="26">
        <v>111.0</v>
      </c>
      <c r="P117" s="26">
        <v>111.0</v>
      </c>
      <c r="Q117" s="26">
        <v>111.0</v>
      </c>
      <c r="R117" s="26">
        <v>111.0</v>
      </c>
      <c r="S117" s="26">
        <v>111.0</v>
      </c>
      <c r="T117" s="26">
        <v>111.0</v>
      </c>
      <c r="U117" s="26">
        <v>111.0</v>
      </c>
      <c r="V117" s="26">
        <v>111.0</v>
      </c>
      <c r="W117" s="26">
        <v>111.0</v>
      </c>
      <c r="X117" s="26">
        <v>111.0</v>
      </c>
      <c r="Y117" s="25">
        <v>111.0</v>
      </c>
      <c r="Z117" s="26">
        <v>35.0</v>
      </c>
      <c r="AA117" s="26">
        <v>35.0</v>
      </c>
      <c r="AB117" s="26">
        <v>35.0</v>
      </c>
      <c r="AC117" s="26">
        <v>35.0</v>
      </c>
      <c r="AD117" s="26">
        <v>35.0</v>
      </c>
      <c r="AE117" s="26">
        <v>35.0</v>
      </c>
      <c r="AF117" s="26">
        <v>36.0</v>
      </c>
      <c r="AG117" s="26">
        <v>35.0</v>
      </c>
      <c r="AH117" s="26">
        <v>35.0</v>
      </c>
      <c r="AI117" s="26">
        <v>35.0</v>
      </c>
      <c r="AJ117" s="26">
        <v>35.0</v>
      </c>
      <c r="AK117" s="26">
        <v>35.0</v>
      </c>
      <c r="AL117" s="26">
        <v>35.0</v>
      </c>
      <c r="AM117" s="26">
        <v>35.0</v>
      </c>
      <c r="AN117" s="26">
        <v>35.0</v>
      </c>
      <c r="AO117" s="26">
        <v>35.0</v>
      </c>
      <c r="AP117" s="26">
        <v>35.0</v>
      </c>
      <c r="AQ117" s="26">
        <v>35.0</v>
      </c>
      <c r="AR117" s="26">
        <v>35.0</v>
      </c>
      <c r="AS117" s="25">
        <v>35.0</v>
      </c>
      <c r="AT117" s="26">
        <v>48.0</v>
      </c>
      <c r="AU117" s="27">
        <v>48.0</v>
      </c>
    </row>
    <row r="118">
      <c r="B118" s="24">
        <v>78.0</v>
      </c>
      <c r="C118" s="25" t="s">
        <v>106</v>
      </c>
      <c r="D118" s="25">
        <v>1.0</v>
      </c>
      <c r="E118" s="25">
        <v>1.0</v>
      </c>
      <c r="F118" s="26">
        <v>112.0</v>
      </c>
      <c r="G118" s="26">
        <v>112.0</v>
      </c>
      <c r="H118" s="26">
        <v>112.0</v>
      </c>
      <c r="I118" s="26">
        <v>112.0</v>
      </c>
      <c r="J118" s="26">
        <v>112.0</v>
      </c>
      <c r="K118" s="26">
        <v>112.0</v>
      </c>
      <c r="L118" s="26">
        <v>97.0</v>
      </c>
      <c r="M118" s="26">
        <v>112.0</v>
      </c>
      <c r="N118" s="26">
        <v>112.0</v>
      </c>
      <c r="O118" s="26">
        <v>112.0</v>
      </c>
      <c r="P118" s="26">
        <v>112.0</v>
      </c>
      <c r="Q118" s="26">
        <v>112.0</v>
      </c>
      <c r="R118" s="26">
        <v>97.0</v>
      </c>
      <c r="S118" s="26">
        <v>112.0</v>
      </c>
      <c r="T118" s="26">
        <v>112.0</v>
      </c>
      <c r="U118" s="26">
        <v>112.0</v>
      </c>
      <c r="V118" s="26">
        <v>112.0</v>
      </c>
      <c r="W118" s="26">
        <v>112.0</v>
      </c>
      <c r="X118" s="26">
        <v>112.0</v>
      </c>
      <c r="Y118" s="25">
        <v>112.0</v>
      </c>
      <c r="Z118" s="26">
        <v>35.0</v>
      </c>
      <c r="AA118" s="26">
        <v>35.0</v>
      </c>
      <c r="AB118" s="26">
        <v>35.0</v>
      </c>
      <c r="AC118" s="26">
        <v>35.0</v>
      </c>
      <c r="AD118" s="26">
        <v>35.0</v>
      </c>
      <c r="AE118" s="26">
        <v>35.0</v>
      </c>
      <c r="AF118" s="26">
        <v>36.0</v>
      </c>
      <c r="AG118" s="26">
        <v>35.0</v>
      </c>
      <c r="AH118" s="26">
        <v>35.0</v>
      </c>
      <c r="AI118" s="26">
        <v>35.0</v>
      </c>
      <c r="AJ118" s="26">
        <v>35.0</v>
      </c>
      <c r="AK118" s="26">
        <v>35.0</v>
      </c>
      <c r="AL118" s="26">
        <v>35.0</v>
      </c>
      <c r="AM118" s="26">
        <v>35.0</v>
      </c>
      <c r="AN118" s="26">
        <v>35.0</v>
      </c>
      <c r="AO118" s="26">
        <v>35.0</v>
      </c>
      <c r="AP118" s="26">
        <v>35.0</v>
      </c>
      <c r="AQ118" s="26">
        <v>35.0</v>
      </c>
      <c r="AR118" s="26">
        <v>35.0</v>
      </c>
      <c r="AS118" s="25">
        <v>35.0</v>
      </c>
      <c r="AT118" s="26">
        <v>48.0</v>
      </c>
      <c r="AU118" s="27">
        <v>48.0</v>
      </c>
    </row>
    <row r="119">
      <c r="B119" s="24">
        <v>79.0</v>
      </c>
      <c r="C119" s="25" t="s">
        <v>107</v>
      </c>
      <c r="D119" s="25">
        <v>1.0</v>
      </c>
      <c r="E119" s="25">
        <v>1.0</v>
      </c>
      <c r="F119" s="26">
        <v>113.0</v>
      </c>
      <c r="G119" s="26">
        <v>113.0</v>
      </c>
      <c r="H119" s="26">
        <v>113.0</v>
      </c>
      <c r="I119" s="26">
        <v>113.0</v>
      </c>
      <c r="J119" s="26">
        <v>113.0</v>
      </c>
      <c r="K119" s="26">
        <v>113.0</v>
      </c>
      <c r="L119" s="26">
        <v>113.0</v>
      </c>
      <c r="M119" s="26">
        <v>113.0</v>
      </c>
      <c r="N119" s="26">
        <v>113.0</v>
      </c>
      <c r="O119" s="26">
        <v>113.0</v>
      </c>
      <c r="P119" s="26">
        <v>113.0</v>
      </c>
      <c r="Q119" s="26">
        <v>113.0</v>
      </c>
      <c r="R119" s="26">
        <v>113.0</v>
      </c>
      <c r="S119" s="26">
        <v>113.0</v>
      </c>
      <c r="T119" s="26">
        <v>113.0</v>
      </c>
      <c r="U119" s="26">
        <v>113.0</v>
      </c>
      <c r="V119" s="26">
        <v>113.0</v>
      </c>
      <c r="W119" s="26">
        <v>113.0</v>
      </c>
      <c r="X119" s="26">
        <v>113.0</v>
      </c>
      <c r="Y119" s="25">
        <v>113.0</v>
      </c>
      <c r="Z119" s="26">
        <v>35.0</v>
      </c>
      <c r="AA119" s="26">
        <v>35.0</v>
      </c>
      <c r="AB119" s="26">
        <v>35.0</v>
      </c>
      <c r="AC119" s="26">
        <v>35.0</v>
      </c>
      <c r="AD119" s="26">
        <v>35.0</v>
      </c>
      <c r="AE119" s="26">
        <v>35.0</v>
      </c>
      <c r="AF119" s="26">
        <v>36.0</v>
      </c>
      <c r="AG119" s="26">
        <v>35.0</v>
      </c>
      <c r="AH119" s="26">
        <v>35.0</v>
      </c>
      <c r="AI119" s="26">
        <v>35.0</v>
      </c>
      <c r="AJ119" s="26">
        <v>35.0</v>
      </c>
      <c r="AK119" s="26">
        <v>35.0</v>
      </c>
      <c r="AL119" s="26">
        <v>35.0</v>
      </c>
      <c r="AM119" s="26">
        <v>35.0</v>
      </c>
      <c r="AN119" s="26">
        <v>35.0</v>
      </c>
      <c r="AO119" s="26">
        <v>35.0</v>
      </c>
      <c r="AP119" s="26">
        <v>35.0</v>
      </c>
      <c r="AQ119" s="26">
        <v>35.0</v>
      </c>
      <c r="AR119" s="26">
        <v>35.0</v>
      </c>
      <c r="AS119" s="25">
        <v>35.0</v>
      </c>
      <c r="AT119" s="26">
        <v>48.0</v>
      </c>
      <c r="AU119" s="27">
        <v>48.0</v>
      </c>
    </row>
    <row r="120">
      <c r="B120" s="24">
        <v>80.0</v>
      </c>
      <c r="C120" s="25" t="s">
        <v>108</v>
      </c>
      <c r="D120" s="25">
        <v>0.0</v>
      </c>
      <c r="E120" s="25">
        <v>0.0</v>
      </c>
      <c r="F120" s="26">
        <v>114.0</v>
      </c>
      <c r="G120" s="26">
        <v>114.0</v>
      </c>
      <c r="H120" s="26">
        <v>114.0</v>
      </c>
      <c r="I120" s="26">
        <v>114.0</v>
      </c>
      <c r="J120" s="26">
        <v>114.0</v>
      </c>
      <c r="K120" s="26">
        <v>114.0</v>
      </c>
      <c r="L120" s="26">
        <v>114.0</v>
      </c>
      <c r="M120" s="26">
        <v>114.0</v>
      </c>
      <c r="N120" s="26">
        <v>114.0</v>
      </c>
      <c r="O120" s="26">
        <v>114.0</v>
      </c>
      <c r="P120" s="26">
        <v>114.0</v>
      </c>
      <c r="Q120" s="26">
        <v>114.0</v>
      </c>
      <c r="R120" s="26">
        <v>114.0</v>
      </c>
      <c r="S120" s="26">
        <v>114.0</v>
      </c>
      <c r="T120" s="26">
        <v>114.0</v>
      </c>
      <c r="U120" s="26">
        <v>114.0</v>
      </c>
      <c r="V120" s="26">
        <v>114.0</v>
      </c>
      <c r="W120" s="26">
        <v>114.0</v>
      </c>
      <c r="X120" s="26">
        <v>114.0</v>
      </c>
      <c r="Y120" s="25">
        <v>114.0</v>
      </c>
      <c r="Z120" s="26">
        <v>35.0</v>
      </c>
      <c r="AA120" s="26">
        <v>35.0</v>
      </c>
      <c r="AB120" s="26">
        <v>35.0</v>
      </c>
      <c r="AC120" s="26">
        <v>35.0</v>
      </c>
      <c r="AD120" s="26">
        <v>35.0</v>
      </c>
      <c r="AE120" s="26">
        <v>35.0</v>
      </c>
      <c r="AF120" s="26">
        <v>36.0</v>
      </c>
      <c r="AG120" s="26">
        <v>35.0</v>
      </c>
      <c r="AH120" s="26">
        <v>35.0</v>
      </c>
      <c r="AI120" s="26">
        <v>35.0</v>
      </c>
      <c r="AJ120" s="26">
        <v>35.0</v>
      </c>
      <c r="AK120" s="26">
        <v>35.0</v>
      </c>
      <c r="AL120" s="26">
        <v>35.0</v>
      </c>
      <c r="AM120" s="26">
        <v>35.0</v>
      </c>
      <c r="AN120" s="26">
        <v>35.0</v>
      </c>
      <c r="AO120" s="26">
        <v>35.0</v>
      </c>
      <c r="AP120" s="26">
        <v>35.0</v>
      </c>
      <c r="AQ120" s="26">
        <v>35.0</v>
      </c>
      <c r="AR120" s="26">
        <v>35.0</v>
      </c>
      <c r="AS120" s="25">
        <v>35.0</v>
      </c>
      <c r="AT120" s="26">
        <v>48.0</v>
      </c>
      <c r="AU120" s="27">
        <v>48.0</v>
      </c>
    </row>
    <row r="121">
      <c r="B121" s="24">
        <v>81.0</v>
      </c>
      <c r="C121" s="34" t="s">
        <v>109</v>
      </c>
      <c r="D121" s="25">
        <v>1.0</v>
      </c>
      <c r="E121" s="25">
        <v>0.0</v>
      </c>
      <c r="F121" s="26">
        <v>115.0</v>
      </c>
      <c r="G121" s="26">
        <v>115.0</v>
      </c>
      <c r="H121" s="26">
        <v>115.0</v>
      </c>
      <c r="I121" s="26">
        <v>115.0</v>
      </c>
      <c r="J121" s="26">
        <v>115.0</v>
      </c>
      <c r="K121" s="26">
        <v>115.0</v>
      </c>
      <c r="L121" s="26">
        <v>115.0</v>
      </c>
      <c r="M121" s="26">
        <v>115.0</v>
      </c>
      <c r="N121" s="26">
        <v>115.0</v>
      </c>
      <c r="O121" s="26">
        <v>115.0</v>
      </c>
      <c r="P121" s="26">
        <v>115.0</v>
      </c>
      <c r="Q121" s="26">
        <v>115.0</v>
      </c>
      <c r="R121" s="26">
        <v>115.0</v>
      </c>
      <c r="S121" s="26">
        <v>115.0</v>
      </c>
      <c r="T121" s="26">
        <v>115.0</v>
      </c>
      <c r="U121" s="26">
        <v>115.0</v>
      </c>
      <c r="V121" s="26">
        <v>115.0</v>
      </c>
      <c r="W121" s="26">
        <v>115.0</v>
      </c>
      <c r="X121" s="26">
        <v>115.0</v>
      </c>
      <c r="Y121" s="25">
        <v>115.0</v>
      </c>
      <c r="Z121" s="35">
        <v>41.0</v>
      </c>
      <c r="AA121" s="35">
        <v>41.0</v>
      </c>
      <c r="AB121" s="35">
        <v>41.0</v>
      </c>
      <c r="AC121" s="35">
        <v>41.0</v>
      </c>
      <c r="AD121" s="35">
        <v>41.0</v>
      </c>
      <c r="AE121" s="35">
        <v>41.0</v>
      </c>
      <c r="AF121" s="35">
        <v>36.0</v>
      </c>
      <c r="AG121" s="35">
        <v>41.0</v>
      </c>
      <c r="AH121" s="35">
        <v>41.0</v>
      </c>
      <c r="AI121" s="35">
        <v>41.0</v>
      </c>
      <c r="AJ121" s="35">
        <v>41.0</v>
      </c>
      <c r="AK121" s="35">
        <v>41.0</v>
      </c>
      <c r="AL121" s="35">
        <v>41.0</v>
      </c>
      <c r="AM121" s="35">
        <v>41.0</v>
      </c>
      <c r="AN121" s="35">
        <v>41.0</v>
      </c>
      <c r="AO121" s="35">
        <v>41.0</v>
      </c>
      <c r="AP121" s="35">
        <v>41.0</v>
      </c>
      <c r="AQ121" s="35">
        <v>41.0</v>
      </c>
      <c r="AR121" s="35">
        <v>41.0</v>
      </c>
      <c r="AS121" s="36">
        <v>41.0</v>
      </c>
      <c r="AT121" s="26">
        <v>48.0</v>
      </c>
      <c r="AU121" s="27">
        <v>48.0</v>
      </c>
    </row>
    <row r="122">
      <c r="B122" s="24">
        <v>82.0</v>
      </c>
      <c r="C122" s="37" t="s">
        <v>110</v>
      </c>
      <c r="D122" s="25">
        <v>1.0</v>
      </c>
      <c r="E122" s="25">
        <v>0.0</v>
      </c>
      <c r="F122" s="26">
        <v>116.0</v>
      </c>
      <c r="G122" s="26">
        <v>116.0</v>
      </c>
      <c r="H122" s="26">
        <v>116.0</v>
      </c>
      <c r="I122" s="26">
        <v>116.0</v>
      </c>
      <c r="J122" s="26">
        <v>116.0</v>
      </c>
      <c r="K122" s="26">
        <v>116.0</v>
      </c>
      <c r="L122" s="26">
        <v>116.0</v>
      </c>
      <c r="M122" s="26">
        <v>116.0</v>
      </c>
      <c r="N122" s="26">
        <v>116.0</v>
      </c>
      <c r="O122" s="26">
        <v>116.0</v>
      </c>
      <c r="P122" s="26">
        <v>116.0</v>
      </c>
      <c r="Q122" s="26">
        <v>116.0</v>
      </c>
      <c r="R122" s="26">
        <v>116.0</v>
      </c>
      <c r="S122" s="26">
        <v>116.0</v>
      </c>
      <c r="T122" s="26">
        <v>116.0</v>
      </c>
      <c r="U122" s="26">
        <v>116.0</v>
      </c>
      <c r="V122" s="26">
        <v>116.0</v>
      </c>
      <c r="W122" s="26">
        <v>116.0</v>
      </c>
      <c r="X122" s="26">
        <v>116.0</v>
      </c>
      <c r="Y122" s="25">
        <v>116.0</v>
      </c>
      <c r="Z122" s="35">
        <v>42.0</v>
      </c>
      <c r="AA122" s="35">
        <v>42.0</v>
      </c>
      <c r="AB122" s="35">
        <v>42.0</v>
      </c>
      <c r="AC122" s="35">
        <v>42.0</v>
      </c>
      <c r="AD122" s="35">
        <v>42.0</v>
      </c>
      <c r="AE122" s="35">
        <v>42.0</v>
      </c>
      <c r="AF122" s="35">
        <v>36.0</v>
      </c>
      <c r="AG122" s="35">
        <v>42.0</v>
      </c>
      <c r="AH122" s="35">
        <v>42.0</v>
      </c>
      <c r="AI122" s="35">
        <v>42.0</v>
      </c>
      <c r="AJ122" s="35">
        <v>42.0</v>
      </c>
      <c r="AK122" s="35">
        <v>42.0</v>
      </c>
      <c r="AL122" s="35">
        <v>42.0</v>
      </c>
      <c r="AM122" s="35">
        <v>42.0</v>
      </c>
      <c r="AN122" s="35">
        <v>42.0</v>
      </c>
      <c r="AO122" s="35">
        <v>42.0</v>
      </c>
      <c r="AP122" s="35">
        <v>42.0</v>
      </c>
      <c r="AQ122" s="35">
        <v>42.0</v>
      </c>
      <c r="AR122" s="35">
        <v>42.0</v>
      </c>
      <c r="AS122" s="36">
        <v>42.0</v>
      </c>
      <c r="AT122" s="26">
        <v>48.0</v>
      </c>
      <c r="AU122" s="27">
        <v>48.0</v>
      </c>
    </row>
    <row r="123">
      <c r="B123" s="24">
        <v>83.0</v>
      </c>
      <c r="C123" s="37" t="s">
        <v>46</v>
      </c>
      <c r="D123" s="25">
        <v>0.0</v>
      </c>
      <c r="E123" s="25">
        <v>0.0</v>
      </c>
      <c r="Y123" s="25"/>
      <c r="AS123" s="25"/>
      <c r="AT123" s="26">
        <v>48.0</v>
      </c>
      <c r="AU123" s="27">
        <v>48.0</v>
      </c>
    </row>
    <row r="124">
      <c r="B124" s="24">
        <v>84.0</v>
      </c>
      <c r="C124" s="37" t="s">
        <v>111</v>
      </c>
      <c r="D124" s="25">
        <v>1.0</v>
      </c>
      <c r="E124" s="25">
        <v>0.0</v>
      </c>
      <c r="Y124" s="25"/>
      <c r="AS124" s="25"/>
      <c r="AT124" s="26">
        <v>48.0</v>
      </c>
      <c r="AU124" s="27">
        <v>48.0</v>
      </c>
    </row>
    <row r="125">
      <c r="B125" s="24">
        <v>85.0</v>
      </c>
      <c r="C125" s="34" t="s">
        <v>74</v>
      </c>
      <c r="D125" s="25">
        <v>0.0</v>
      </c>
      <c r="E125" s="25">
        <v>0.0</v>
      </c>
      <c r="Y125" s="25"/>
      <c r="AS125" s="25"/>
      <c r="AT125" s="26">
        <v>48.0</v>
      </c>
      <c r="AU125" s="27">
        <v>48.0</v>
      </c>
    </row>
    <row r="126">
      <c r="B126" s="24">
        <v>86.0</v>
      </c>
      <c r="C126" s="34" t="s">
        <v>112</v>
      </c>
      <c r="D126" s="25">
        <v>0.0</v>
      </c>
      <c r="E126" s="25">
        <v>0.0</v>
      </c>
      <c r="Y126" s="25"/>
      <c r="AS126" s="25"/>
      <c r="AT126" s="26">
        <v>48.0</v>
      </c>
      <c r="AU126" s="27">
        <v>48.0</v>
      </c>
    </row>
    <row r="127">
      <c r="B127" s="24">
        <v>87.0</v>
      </c>
      <c r="C127" s="34" t="s">
        <v>113</v>
      </c>
      <c r="D127" s="25">
        <v>0.0</v>
      </c>
      <c r="E127" s="25">
        <v>0.0</v>
      </c>
      <c r="Y127" s="25"/>
      <c r="AS127" s="25"/>
      <c r="AT127" s="26">
        <v>48.0</v>
      </c>
      <c r="AU127" s="27">
        <v>48.0</v>
      </c>
    </row>
    <row r="128">
      <c r="B128" s="24">
        <v>88.0</v>
      </c>
      <c r="C128" s="34" t="s">
        <v>114</v>
      </c>
      <c r="D128" s="25">
        <v>1.0</v>
      </c>
      <c r="E128" s="25">
        <v>0.0</v>
      </c>
      <c r="Y128" s="25"/>
      <c r="AS128" s="25"/>
      <c r="AT128" s="26">
        <v>48.0</v>
      </c>
      <c r="AU128" s="27">
        <v>48.0</v>
      </c>
    </row>
    <row r="129">
      <c r="B129" s="24">
        <v>89.0</v>
      </c>
      <c r="C129" s="34" t="s">
        <v>115</v>
      </c>
      <c r="D129" s="25">
        <v>0.0</v>
      </c>
      <c r="E129" s="25">
        <v>0.0</v>
      </c>
      <c r="Y129" s="25"/>
      <c r="AS129" s="25"/>
      <c r="AT129" s="26">
        <v>48.0</v>
      </c>
      <c r="AU129" s="27">
        <v>48.0</v>
      </c>
    </row>
    <row r="130">
      <c r="B130" s="24">
        <v>90.0</v>
      </c>
      <c r="C130" s="34" t="s">
        <v>116</v>
      </c>
      <c r="D130" s="25">
        <v>0.0</v>
      </c>
      <c r="E130" s="25">
        <v>0.0</v>
      </c>
      <c r="Y130" s="25"/>
      <c r="AS130" s="25"/>
      <c r="AT130" s="26">
        <v>48.0</v>
      </c>
      <c r="AU130" s="27">
        <v>48.0</v>
      </c>
    </row>
    <row r="131">
      <c r="B131" s="24">
        <v>91.0</v>
      </c>
      <c r="C131" s="37" t="s">
        <v>117</v>
      </c>
      <c r="D131" s="25">
        <v>1.0</v>
      </c>
      <c r="E131" s="25">
        <v>0.0</v>
      </c>
      <c r="Y131" s="25"/>
      <c r="AS131" s="25"/>
      <c r="AT131" s="26">
        <v>48.0</v>
      </c>
      <c r="AU131" s="27">
        <v>48.0</v>
      </c>
    </row>
    <row r="132">
      <c r="B132" s="24">
        <v>92.0</v>
      </c>
      <c r="C132" s="37" t="s">
        <v>118</v>
      </c>
      <c r="D132" s="25">
        <v>1.0</v>
      </c>
      <c r="E132" s="25">
        <v>0.0</v>
      </c>
      <c r="Y132" s="25"/>
      <c r="AS132" s="25"/>
      <c r="AT132" s="26">
        <v>48.0</v>
      </c>
      <c r="AU132" s="27">
        <v>48.0</v>
      </c>
    </row>
    <row r="133">
      <c r="B133" s="24">
        <v>93.0</v>
      </c>
      <c r="C133" s="37" t="s">
        <v>119</v>
      </c>
      <c r="D133" s="25">
        <v>1.0</v>
      </c>
      <c r="E133" s="25">
        <v>0.0</v>
      </c>
      <c r="Y133" s="25"/>
      <c r="AS133" s="25"/>
      <c r="AT133" s="26">
        <v>48.0</v>
      </c>
      <c r="AU133" s="27">
        <v>48.0</v>
      </c>
    </row>
    <row r="134">
      <c r="B134" s="24">
        <v>94.0</v>
      </c>
      <c r="C134" s="37" t="s">
        <v>120</v>
      </c>
      <c r="D134" s="25">
        <v>1.0</v>
      </c>
      <c r="E134" s="25">
        <v>1.0</v>
      </c>
      <c r="Y134" s="25"/>
      <c r="AS134" s="25"/>
      <c r="AT134" s="26">
        <v>48.0</v>
      </c>
      <c r="AU134" s="27">
        <v>48.0</v>
      </c>
    </row>
    <row r="135">
      <c r="B135" s="24">
        <v>95.0</v>
      </c>
      <c r="C135" s="34" t="s">
        <v>121</v>
      </c>
      <c r="D135" s="25">
        <v>1.0</v>
      </c>
      <c r="E135" s="25">
        <v>1.0</v>
      </c>
      <c r="Y135" s="25"/>
      <c r="AS135" s="25"/>
      <c r="AT135" s="26">
        <v>48.0</v>
      </c>
      <c r="AU135" s="27">
        <v>48.0</v>
      </c>
    </row>
    <row r="136">
      <c r="B136" s="24">
        <v>96.0</v>
      </c>
      <c r="C136" s="37" t="s">
        <v>122</v>
      </c>
      <c r="D136" s="25">
        <v>0.0</v>
      </c>
      <c r="E136" s="25">
        <v>0.0</v>
      </c>
      <c r="Y136" s="25"/>
      <c r="AS136" s="25"/>
      <c r="AT136" s="26">
        <v>48.0</v>
      </c>
      <c r="AU136" s="27">
        <v>48.0</v>
      </c>
    </row>
    <row r="137">
      <c r="B137" s="24">
        <v>97.0</v>
      </c>
      <c r="C137" s="37" t="s">
        <v>123</v>
      </c>
      <c r="D137" s="25">
        <v>0.0</v>
      </c>
      <c r="E137" s="25">
        <v>0.0</v>
      </c>
      <c r="Y137" s="25"/>
      <c r="AS137" s="25"/>
      <c r="AT137" s="26">
        <v>48.0</v>
      </c>
      <c r="AU137" s="27">
        <v>48.0</v>
      </c>
    </row>
    <row r="138">
      <c r="B138" s="24">
        <v>98.0</v>
      </c>
      <c r="C138" s="37" t="s">
        <v>124</v>
      </c>
      <c r="D138" s="25">
        <v>1.0</v>
      </c>
      <c r="E138" s="25">
        <v>1.0</v>
      </c>
      <c r="Y138" s="25"/>
      <c r="AS138" s="25"/>
      <c r="AT138" s="26">
        <v>48.0</v>
      </c>
      <c r="AU138" s="27">
        <v>48.0</v>
      </c>
    </row>
    <row r="139">
      <c r="B139" s="24">
        <v>99.0</v>
      </c>
      <c r="C139" s="37" t="s">
        <v>125</v>
      </c>
      <c r="D139" s="25">
        <v>0.0</v>
      </c>
      <c r="E139" s="25">
        <v>0.0</v>
      </c>
      <c r="Y139" s="25"/>
      <c r="AS139" s="25"/>
      <c r="AT139" s="26">
        <v>48.0</v>
      </c>
      <c r="AU139" s="27">
        <v>48.0</v>
      </c>
    </row>
    <row r="140">
      <c r="B140" s="24">
        <v>100.0</v>
      </c>
      <c r="C140" s="37" t="s">
        <v>126</v>
      </c>
      <c r="D140" s="25">
        <v>0.0</v>
      </c>
      <c r="E140" s="25">
        <v>0.0</v>
      </c>
      <c r="Y140" s="25"/>
      <c r="AS140" s="25"/>
      <c r="AU140" s="27"/>
    </row>
    <row r="141">
      <c r="B141" s="24">
        <v>101.0</v>
      </c>
      <c r="C141" s="25" t="s">
        <v>127</v>
      </c>
      <c r="D141" s="25"/>
      <c r="E141" s="25"/>
      <c r="Y141" s="25"/>
      <c r="AS141" s="25"/>
      <c r="AU141" s="27"/>
    </row>
    <row r="142">
      <c r="B142" s="24">
        <v>102.0</v>
      </c>
      <c r="C142" s="25" t="s">
        <v>127</v>
      </c>
      <c r="D142" s="25"/>
      <c r="E142" s="25"/>
      <c r="Y142" s="25"/>
      <c r="AS142" s="25"/>
      <c r="AU142" s="27"/>
    </row>
    <row r="143">
      <c r="B143" s="24">
        <v>103.0</v>
      </c>
      <c r="C143" s="25" t="s">
        <v>127</v>
      </c>
      <c r="D143" s="25"/>
      <c r="E143" s="25"/>
      <c r="Y143" s="25"/>
      <c r="AS143" s="25"/>
      <c r="AU143" s="27"/>
    </row>
    <row r="144">
      <c r="B144" s="24">
        <v>104.0</v>
      </c>
      <c r="C144" s="25" t="s">
        <v>127</v>
      </c>
      <c r="D144" s="25"/>
      <c r="E144" s="25"/>
      <c r="Y144" s="25"/>
      <c r="AS144" s="25"/>
      <c r="AU144" s="27"/>
    </row>
    <row r="145">
      <c r="B145" s="24">
        <v>105.0</v>
      </c>
      <c r="C145" s="25" t="s">
        <v>127</v>
      </c>
      <c r="D145" s="25"/>
      <c r="E145" s="25"/>
      <c r="Y145" s="25"/>
      <c r="AS145" s="25"/>
      <c r="AU145" s="27"/>
    </row>
    <row r="146">
      <c r="B146" s="24"/>
      <c r="C146" s="25" t="s">
        <v>127</v>
      </c>
      <c r="D146" s="25"/>
      <c r="E146" s="25"/>
      <c r="Y146" s="25"/>
      <c r="AS146" s="25"/>
      <c r="AU146" s="27"/>
    </row>
    <row r="147">
      <c r="B147" s="24"/>
      <c r="C147" s="25" t="s">
        <v>127</v>
      </c>
      <c r="D147" s="25"/>
      <c r="E147" s="25"/>
      <c r="Y147" s="25"/>
      <c r="AS147" s="25"/>
      <c r="AU147" s="27"/>
    </row>
    <row r="148">
      <c r="B148" s="24"/>
      <c r="C148" s="25" t="s">
        <v>127</v>
      </c>
      <c r="D148" s="25"/>
      <c r="E148" s="25"/>
      <c r="Y148" s="25"/>
      <c r="AS148" s="25"/>
      <c r="AU148" s="27"/>
    </row>
    <row r="149">
      <c r="B149" s="24"/>
      <c r="C149" s="25" t="s">
        <v>127</v>
      </c>
      <c r="D149" s="25"/>
      <c r="E149" s="25"/>
      <c r="Y149" s="25"/>
      <c r="AS149" s="25"/>
      <c r="AU149" s="27"/>
    </row>
    <row r="150">
      <c r="B150" s="24"/>
      <c r="C150" s="25" t="s">
        <v>127</v>
      </c>
      <c r="D150" s="25"/>
      <c r="E150" s="25"/>
      <c r="Y150" s="25"/>
      <c r="AS150" s="25"/>
      <c r="AU150" s="27"/>
    </row>
    <row r="151">
      <c r="B151" s="24"/>
      <c r="C151" s="25" t="s">
        <v>127</v>
      </c>
      <c r="D151" s="25"/>
      <c r="E151" s="25"/>
      <c r="Y151" s="25"/>
      <c r="AS151" s="25"/>
      <c r="AU151" s="27"/>
    </row>
    <row r="152">
      <c r="B152" s="24"/>
      <c r="C152" s="25" t="s">
        <v>127</v>
      </c>
      <c r="D152" s="25"/>
      <c r="E152" s="25"/>
      <c r="Y152" s="25"/>
      <c r="AS152" s="25"/>
      <c r="AU152" s="27"/>
    </row>
    <row r="153">
      <c r="B153" s="24"/>
      <c r="C153" s="25" t="s">
        <v>127</v>
      </c>
      <c r="D153" s="25"/>
      <c r="E153" s="25"/>
      <c r="Y153" s="25"/>
      <c r="AS153" s="25"/>
      <c r="AU153" s="27"/>
    </row>
    <row r="154">
      <c r="B154" s="24">
        <v>114.0</v>
      </c>
      <c r="C154" s="25" t="s">
        <v>127</v>
      </c>
      <c r="D154" s="25"/>
      <c r="E154" s="25"/>
      <c r="Y154" s="25"/>
      <c r="AS154" s="25"/>
      <c r="AU154" s="27"/>
    </row>
    <row r="155">
      <c r="B155" s="24">
        <v>115.0</v>
      </c>
      <c r="C155" s="25" t="s">
        <v>127</v>
      </c>
      <c r="D155" s="25"/>
      <c r="E155" s="25"/>
      <c r="Y155" s="25"/>
      <c r="AS155" s="25"/>
      <c r="AU155" s="27"/>
    </row>
    <row r="156">
      <c r="B156" s="24">
        <v>116.0</v>
      </c>
      <c r="C156" s="25" t="s">
        <v>127</v>
      </c>
      <c r="D156" s="25"/>
      <c r="E156" s="25"/>
      <c r="Y156" s="25"/>
      <c r="AS156" s="25"/>
      <c r="AU156" s="27"/>
    </row>
    <row r="157">
      <c r="B157" s="24">
        <v>117.0</v>
      </c>
      <c r="C157" s="25" t="s">
        <v>127</v>
      </c>
      <c r="D157" s="25"/>
      <c r="E157" s="25"/>
      <c r="Y157" s="25"/>
      <c r="AS157" s="25"/>
      <c r="AU157" s="27"/>
    </row>
    <row r="158">
      <c r="B158" s="24">
        <v>118.0</v>
      </c>
      <c r="C158" s="25" t="s">
        <v>127</v>
      </c>
      <c r="D158" s="25"/>
      <c r="E158" s="25"/>
      <c r="Y158" s="25"/>
      <c r="AS158" s="25"/>
      <c r="AU158" s="27"/>
    </row>
    <row r="159">
      <c r="B159" s="24">
        <v>119.0</v>
      </c>
      <c r="C159" s="25" t="s">
        <v>127</v>
      </c>
      <c r="D159" s="25"/>
      <c r="E159" s="25"/>
      <c r="Y159" s="25"/>
      <c r="AS159" s="25"/>
      <c r="AU159" s="27"/>
    </row>
    <row r="160">
      <c r="B160" s="24">
        <v>120.0</v>
      </c>
      <c r="C160" s="25" t="s">
        <v>127</v>
      </c>
      <c r="D160" s="25"/>
      <c r="E160" s="25"/>
      <c r="Y160" s="25"/>
      <c r="AS160" s="25"/>
      <c r="AU160" s="27"/>
    </row>
    <row r="161">
      <c r="B161" s="24">
        <v>121.0</v>
      </c>
      <c r="C161" s="25" t="s">
        <v>127</v>
      </c>
      <c r="D161" s="25"/>
      <c r="E161" s="25"/>
      <c r="Y161" s="25"/>
      <c r="AS161" s="25"/>
      <c r="AU161" s="27"/>
    </row>
    <row r="162">
      <c r="B162" s="24">
        <v>122.0</v>
      </c>
      <c r="C162" s="25" t="s">
        <v>127</v>
      </c>
      <c r="D162" s="25"/>
      <c r="E162" s="25"/>
      <c r="Y162" s="25"/>
      <c r="AS162" s="25"/>
      <c r="AU162" s="27"/>
    </row>
    <row r="163">
      <c r="B163" s="24">
        <v>123.0</v>
      </c>
      <c r="C163" s="25" t="s">
        <v>127</v>
      </c>
      <c r="D163" s="25"/>
      <c r="E163" s="25"/>
      <c r="Y163" s="25"/>
      <c r="AS163" s="25"/>
      <c r="AU163" s="27"/>
    </row>
    <row r="164">
      <c r="B164" s="24">
        <v>124.0</v>
      </c>
      <c r="C164" s="25" t="s">
        <v>127</v>
      </c>
      <c r="D164" s="25"/>
      <c r="E164" s="25"/>
      <c r="Y164" s="25"/>
      <c r="AS164" s="25"/>
      <c r="AU164" s="27"/>
    </row>
    <row r="165">
      <c r="B165" s="24">
        <v>125.0</v>
      </c>
      <c r="C165" s="25" t="s">
        <v>127</v>
      </c>
      <c r="D165" s="25"/>
      <c r="E165" s="25"/>
      <c r="Y165" s="25"/>
      <c r="AS165" s="25"/>
      <c r="AU165" s="27"/>
    </row>
    <row r="166">
      <c r="B166" s="24">
        <v>126.0</v>
      </c>
      <c r="C166" s="25" t="s">
        <v>127</v>
      </c>
      <c r="D166" s="25"/>
      <c r="E166" s="25"/>
      <c r="Y166" s="25"/>
      <c r="AS166" s="25"/>
      <c r="AU166" s="27"/>
    </row>
    <row r="167">
      <c r="B167" s="24">
        <v>127.0</v>
      </c>
      <c r="C167" s="25" t="s">
        <v>127</v>
      </c>
      <c r="D167" s="25"/>
      <c r="E167" s="25"/>
      <c r="Y167" s="25"/>
      <c r="AS167" s="25"/>
      <c r="AU167" s="27"/>
    </row>
    <row r="168">
      <c r="B168" s="24">
        <v>128.0</v>
      </c>
      <c r="C168" s="25" t="s">
        <v>127</v>
      </c>
      <c r="D168" s="25"/>
      <c r="E168" s="25"/>
      <c r="Y168" s="25"/>
      <c r="AS168" s="25"/>
      <c r="AU168" s="27"/>
    </row>
    <row r="169">
      <c r="B169" s="24">
        <v>129.0</v>
      </c>
      <c r="C169" s="25" t="s">
        <v>127</v>
      </c>
      <c r="D169" s="25"/>
      <c r="E169" s="25"/>
      <c r="Y169" s="25"/>
      <c r="AS169" s="25"/>
      <c r="AU169" s="27"/>
    </row>
    <row r="170">
      <c r="B170" s="24">
        <v>130.0</v>
      </c>
      <c r="C170" s="25" t="s">
        <v>127</v>
      </c>
      <c r="D170" s="25"/>
      <c r="E170" s="25"/>
      <c r="Y170" s="25"/>
      <c r="AS170" s="25"/>
      <c r="AU170" s="27"/>
    </row>
    <row r="171">
      <c r="B171" s="24">
        <v>131.0</v>
      </c>
      <c r="C171" s="25" t="s">
        <v>127</v>
      </c>
      <c r="D171" s="25"/>
      <c r="E171" s="25"/>
      <c r="Y171" s="25"/>
      <c r="AS171" s="25"/>
      <c r="AU171" s="27"/>
    </row>
    <row r="172">
      <c r="B172" s="24">
        <v>132.0</v>
      </c>
      <c r="C172" s="25" t="s">
        <v>127</v>
      </c>
      <c r="D172" s="25"/>
      <c r="E172" s="25"/>
      <c r="Y172" s="25"/>
      <c r="AS172" s="25"/>
      <c r="AU172" s="27"/>
    </row>
    <row r="173">
      <c r="B173" s="24">
        <v>133.0</v>
      </c>
      <c r="C173" s="25" t="s">
        <v>127</v>
      </c>
      <c r="D173" s="25"/>
      <c r="E173" s="25"/>
      <c r="Y173" s="25"/>
      <c r="AS173" s="25"/>
      <c r="AU173" s="27"/>
    </row>
    <row r="174">
      <c r="B174" s="24">
        <v>134.0</v>
      </c>
      <c r="C174" s="25" t="s">
        <v>127</v>
      </c>
      <c r="D174" s="25"/>
      <c r="E174" s="25"/>
      <c r="Y174" s="25"/>
      <c r="AS174" s="25"/>
      <c r="AU174" s="27"/>
    </row>
    <row r="175">
      <c r="B175" s="24">
        <v>130.0</v>
      </c>
      <c r="C175" s="25" t="s">
        <v>127</v>
      </c>
      <c r="D175" s="25"/>
      <c r="E175" s="25"/>
      <c r="Y175" s="25"/>
      <c r="AS175" s="25"/>
      <c r="AU175" s="27"/>
    </row>
    <row r="176">
      <c r="B176" s="24">
        <v>131.0</v>
      </c>
      <c r="C176" s="25" t="s">
        <v>127</v>
      </c>
      <c r="D176" s="25"/>
      <c r="E176" s="25"/>
      <c r="Y176" s="25"/>
      <c r="AS176" s="25"/>
      <c r="AU176" s="27"/>
    </row>
    <row r="177">
      <c r="B177" s="24">
        <v>132.0</v>
      </c>
      <c r="C177" s="25" t="s">
        <v>127</v>
      </c>
      <c r="D177" s="25"/>
      <c r="E177" s="25"/>
      <c r="Y177" s="25"/>
      <c r="AS177" s="25"/>
      <c r="AU177" s="27"/>
    </row>
    <row r="178">
      <c r="B178" s="24">
        <v>133.0</v>
      </c>
      <c r="C178" s="25" t="s">
        <v>127</v>
      </c>
      <c r="D178" s="25"/>
      <c r="E178" s="25"/>
      <c r="Y178" s="25"/>
      <c r="AS178" s="25"/>
      <c r="AU178" s="27"/>
    </row>
    <row r="179">
      <c r="B179" s="24">
        <v>134.0</v>
      </c>
      <c r="C179" s="25" t="s">
        <v>127</v>
      </c>
      <c r="D179" s="25"/>
      <c r="E179" s="25"/>
      <c r="Y179" s="25"/>
      <c r="AS179" s="25"/>
      <c r="AU179" s="27"/>
    </row>
    <row r="180">
      <c r="B180" s="24">
        <v>135.0</v>
      </c>
      <c r="C180" s="25" t="s">
        <v>127</v>
      </c>
      <c r="D180" s="25"/>
      <c r="E180" s="25"/>
      <c r="Y180" s="25"/>
      <c r="AS180" s="25"/>
      <c r="AU180" s="27"/>
    </row>
    <row r="181">
      <c r="B181" s="24">
        <v>136.0</v>
      </c>
      <c r="C181" s="25" t="s">
        <v>127</v>
      </c>
      <c r="D181" s="25"/>
      <c r="E181" s="25"/>
      <c r="Y181" s="25"/>
      <c r="AS181" s="25"/>
      <c r="AU181" s="27"/>
    </row>
    <row r="182">
      <c r="B182" s="24">
        <v>137.0</v>
      </c>
      <c r="C182" s="25" t="s">
        <v>127</v>
      </c>
      <c r="D182" s="25"/>
      <c r="E182" s="25"/>
      <c r="Y182" s="25"/>
      <c r="AS182" s="25"/>
      <c r="AU182" s="27"/>
    </row>
    <row r="183">
      <c r="B183" s="24">
        <v>138.0</v>
      </c>
      <c r="C183" s="25" t="s">
        <v>127</v>
      </c>
      <c r="D183" s="25"/>
      <c r="E183" s="25"/>
      <c r="Y183" s="25"/>
      <c r="AS183" s="25"/>
      <c r="AU183" s="27"/>
    </row>
    <row r="184">
      <c r="B184" s="24">
        <v>139.0</v>
      </c>
      <c r="C184" s="25" t="s">
        <v>127</v>
      </c>
      <c r="D184" s="25"/>
      <c r="E184" s="25"/>
      <c r="Y184" s="25"/>
      <c r="AS184" s="25"/>
      <c r="AU184" s="27"/>
    </row>
    <row r="185">
      <c r="B185" s="24">
        <v>140.0</v>
      </c>
      <c r="C185" s="25" t="s">
        <v>127</v>
      </c>
      <c r="D185" s="25"/>
      <c r="E185" s="25"/>
      <c r="Y185" s="25"/>
      <c r="AS185" s="25"/>
      <c r="AU185" s="27"/>
    </row>
    <row r="186">
      <c r="B186" s="24">
        <v>141.0</v>
      </c>
      <c r="C186" s="25" t="s">
        <v>127</v>
      </c>
      <c r="D186" s="25"/>
      <c r="E186" s="25"/>
      <c r="Y186" s="25"/>
      <c r="AS186" s="25"/>
      <c r="AU186" s="27"/>
    </row>
    <row r="187">
      <c r="B187" s="24">
        <v>142.0</v>
      </c>
      <c r="C187" s="25" t="s">
        <v>127</v>
      </c>
      <c r="D187" s="25"/>
      <c r="E187" s="25"/>
      <c r="Y187" s="25"/>
      <c r="AS187" s="25"/>
      <c r="AU187" s="27"/>
    </row>
    <row r="188">
      <c r="B188" s="24">
        <v>143.0</v>
      </c>
      <c r="C188" s="25" t="s">
        <v>127</v>
      </c>
      <c r="D188" s="25"/>
      <c r="E188" s="25"/>
      <c r="Y188" s="25"/>
      <c r="AS188" s="25"/>
      <c r="AU188" s="27"/>
    </row>
    <row r="189">
      <c r="B189" s="24">
        <v>144.0</v>
      </c>
      <c r="C189" s="25" t="s">
        <v>127</v>
      </c>
      <c r="D189" s="25"/>
      <c r="E189" s="25"/>
      <c r="Y189" s="25"/>
      <c r="AS189" s="25"/>
      <c r="AU189" s="27"/>
    </row>
    <row r="190">
      <c r="B190" s="24">
        <v>145.0</v>
      </c>
      <c r="C190" s="25" t="s">
        <v>127</v>
      </c>
      <c r="D190" s="25"/>
      <c r="E190" s="25"/>
      <c r="Y190" s="25"/>
      <c r="AS190" s="25"/>
      <c r="AU190" s="27"/>
    </row>
    <row r="191">
      <c r="B191" s="24">
        <v>146.0</v>
      </c>
      <c r="C191" s="25" t="s">
        <v>127</v>
      </c>
      <c r="D191" s="25"/>
      <c r="E191" s="25"/>
      <c r="Y191" s="25"/>
      <c r="AS191" s="25"/>
      <c r="AU191" s="27"/>
    </row>
    <row r="192">
      <c r="B192" s="24">
        <v>147.0</v>
      </c>
      <c r="C192" s="25" t="s">
        <v>127</v>
      </c>
      <c r="D192" s="25"/>
      <c r="E192" s="25"/>
      <c r="Y192" s="25"/>
      <c r="AS192" s="25"/>
      <c r="AU192" s="27"/>
    </row>
    <row r="193">
      <c r="B193" s="24">
        <v>148.0</v>
      </c>
      <c r="C193" s="25" t="s">
        <v>127</v>
      </c>
      <c r="D193" s="25"/>
      <c r="E193" s="25"/>
      <c r="Y193" s="25"/>
      <c r="AS193" s="25"/>
      <c r="AU193" s="27"/>
    </row>
    <row r="194">
      <c r="B194" s="24">
        <v>149.0</v>
      </c>
      <c r="C194" s="25" t="s">
        <v>127</v>
      </c>
      <c r="D194" s="25"/>
      <c r="E194" s="25"/>
      <c r="Y194" s="25"/>
      <c r="AS194" s="25"/>
      <c r="AU194" s="27"/>
    </row>
    <row r="195">
      <c r="B195" s="24">
        <v>150.0</v>
      </c>
      <c r="C195" s="25" t="s">
        <v>127</v>
      </c>
      <c r="D195" s="25"/>
      <c r="E195" s="25"/>
      <c r="Y195" s="25"/>
      <c r="AS195" s="25"/>
      <c r="AU195" s="27"/>
    </row>
    <row r="196">
      <c r="B196" s="24">
        <v>151.0</v>
      </c>
      <c r="C196" s="25" t="s">
        <v>127</v>
      </c>
      <c r="D196" s="25"/>
      <c r="E196" s="25"/>
      <c r="Y196" s="25"/>
      <c r="AS196" s="25"/>
      <c r="AU196" s="27"/>
    </row>
    <row r="197">
      <c r="B197" s="24">
        <v>152.0</v>
      </c>
      <c r="C197" s="25" t="s">
        <v>127</v>
      </c>
      <c r="D197" s="25"/>
      <c r="E197" s="25"/>
      <c r="Y197" s="25"/>
      <c r="AS197" s="25"/>
      <c r="AU197" s="27"/>
    </row>
    <row r="198">
      <c r="B198" s="24">
        <v>153.0</v>
      </c>
      <c r="C198" s="25" t="s">
        <v>127</v>
      </c>
      <c r="D198" s="25"/>
      <c r="E198" s="25"/>
      <c r="Y198" s="25"/>
      <c r="AS198" s="25"/>
      <c r="AU198" s="27"/>
    </row>
    <row r="199">
      <c r="B199" s="24">
        <v>154.0</v>
      </c>
      <c r="C199" s="25" t="s">
        <v>127</v>
      </c>
      <c r="D199" s="25"/>
      <c r="E199" s="25"/>
      <c r="Y199" s="25"/>
      <c r="AS199" s="25"/>
      <c r="AU199" s="27"/>
    </row>
    <row r="200">
      <c r="B200" s="24">
        <v>155.0</v>
      </c>
      <c r="C200" s="25" t="s">
        <v>127</v>
      </c>
      <c r="D200" s="25"/>
      <c r="E200" s="25"/>
      <c r="Y200" s="25"/>
      <c r="AS200" s="25"/>
      <c r="AU200" s="27"/>
    </row>
    <row r="201">
      <c r="B201" s="24">
        <v>156.0</v>
      </c>
      <c r="C201" s="25" t="s">
        <v>127</v>
      </c>
      <c r="D201" s="25"/>
      <c r="E201" s="25"/>
      <c r="Y201" s="25"/>
      <c r="AS201" s="25"/>
      <c r="AU201" s="27"/>
    </row>
    <row r="202">
      <c r="B202" s="24">
        <v>157.0</v>
      </c>
      <c r="C202" s="25" t="s">
        <v>127</v>
      </c>
      <c r="D202" s="25"/>
      <c r="E202" s="25"/>
      <c r="Y202" s="25"/>
      <c r="AS202" s="25"/>
      <c r="AU202" s="27"/>
    </row>
    <row r="203">
      <c r="B203" s="24">
        <v>158.0</v>
      </c>
      <c r="C203" s="25" t="s">
        <v>127</v>
      </c>
      <c r="D203" s="25"/>
      <c r="E203" s="25"/>
      <c r="Y203" s="25"/>
      <c r="AS203" s="25"/>
      <c r="AU203" s="27"/>
    </row>
    <row r="204">
      <c r="B204" s="24">
        <v>159.0</v>
      </c>
      <c r="C204" s="25" t="s">
        <v>127</v>
      </c>
      <c r="D204" s="25"/>
      <c r="E204" s="25"/>
      <c r="Y204" s="25"/>
      <c r="AS204" s="25"/>
      <c r="AU204" s="27"/>
    </row>
    <row r="205">
      <c r="B205" s="24">
        <v>160.0</v>
      </c>
      <c r="C205" s="25" t="s">
        <v>127</v>
      </c>
      <c r="D205" s="25"/>
      <c r="E205" s="25"/>
      <c r="Y205" s="25"/>
      <c r="AS205" s="25"/>
      <c r="AU205" s="27"/>
    </row>
    <row r="206">
      <c r="B206" s="24">
        <v>161.0</v>
      </c>
      <c r="C206" s="25" t="s">
        <v>127</v>
      </c>
      <c r="D206" s="25"/>
      <c r="E206" s="25"/>
      <c r="Y206" s="25"/>
      <c r="AS206" s="25"/>
      <c r="AU206" s="27"/>
    </row>
    <row r="207">
      <c r="B207" s="24">
        <v>162.0</v>
      </c>
      <c r="C207" s="25" t="s">
        <v>127</v>
      </c>
      <c r="D207" s="25"/>
      <c r="E207" s="25"/>
      <c r="Y207" s="25"/>
      <c r="AS207" s="25"/>
      <c r="AU207" s="27"/>
    </row>
    <row r="208">
      <c r="B208" s="24">
        <v>163.0</v>
      </c>
      <c r="C208" s="25" t="s">
        <v>127</v>
      </c>
      <c r="D208" s="25"/>
      <c r="E208" s="25"/>
      <c r="Y208" s="25"/>
      <c r="AS208" s="25"/>
      <c r="AU208" s="27"/>
    </row>
    <row r="209">
      <c r="B209" s="24">
        <v>164.0</v>
      </c>
      <c r="C209" s="25" t="s">
        <v>127</v>
      </c>
      <c r="D209" s="25"/>
      <c r="E209" s="25"/>
      <c r="Y209" s="25"/>
      <c r="AS209" s="25"/>
      <c r="AU209" s="27"/>
    </row>
    <row r="210">
      <c r="B210" s="24">
        <v>165.0</v>
      </c>
      <c r="C210" s="25" t="s">
        <v>127</v>
      </c>
      <c r="D210" s="25"/>
      <c r="E210" s="25"/>
      <c r="Y210" s="25"/>
      <c r="AS210" s="25"/>
      <c r="AU210" s="27"/>
    </row>
    <row r="211">
      <c r="B211" s="24">
        <v>166.0</v>
      </c>
      <c r="C211" s="25" t="s">
        <v>127</v>
      </c>
      <c r="D211" s="25"/>
      <c r="E211" s="25"/>
      <c r="Y211" s="25"/>
      <c r="AS211" s="25"/>
      <c r="AU211" s="27"/>
    </row>
    <row r="212">
      <c r="B212" s="24">
        <v>167.0</v>
      </c>
      <c r="C212" s="25" t="s">
        <v>127</v>
      </c>
      <c r="D212" s="25"/>
      <c r="E212" s="25"/>
      <c r="Y212" s="25"/>
      <c r="AS212" s="25"/>
      <c r="AU212" s="27"/>
    </row>
    <row r="213">
      <c r="B213" s="24">
        <v>168.0</v>
      </c>
      <c r="C213" s="25" t="s">
        <v>127</v>
      </c>
      <c r="D213" s="25"/>
      <c r="E213" s="25"/>
      <c r="Y213" s="25"/>
      <c r="AS213" s="25"/>
      <c r="AU213" s="27"/>
    </row>
    <row r="214">
      <c r="B214" s="24">
        <v>169.0</v>
      </c>
      <c r="C214" s="25" t="s">
        <v>127</v>
      </c>
      <c r="D214" s="25"/>
      <c r="E214" s="25"/>
      <c r="Y214" s="25"/>
      <c r="AS214" s="25"/>
      <c r="AU214" s="27"/>
    </row>
    <row r="215">
      <c r="B215" s="24">
        <v>170.0</v>
      </c>
      <c r="C215" s="25" t="s">
        <v>127</v>
      </c>
      <c r="D215" s="25"/>
      <c r="E215" s="25"/>
      <c r="Y215" s="25"/>
      <c r="AS215" s="25"/>
      <c r="AU215" s="27"/>
    </row>
    <row r="216">
      <c r="B216" s="24">
        <v>171.0</v>
      </c>
      <c r="C216" s="25" t="s">
        <v>127</v>
      </c>
      <c r="D216" s="25"/>
      <c r="E216" s="25"/>
      <c r="Y216" s="25"/>
      <c r="AS216" s="25"/>
      <c r="AU216" s="27"/>
    </row>
    <row r="217">
      <c r="B217" s="24">
        <v>172.0</v>
      </c>
      <c r="C217" s="25" t="s">
        <v>127</v>
      </c>
      <c r="D217" s="25"/>
      <c r="E217" s="25"/>
      <c r="Y217" s="25"/>
      <c r="AS217" s="25"/>
      <c r="AU217" s="27"/>
    </row>
    <row r="218">
      <c r="B218" s="24">
        <v>173.0</v>
      </c>
      <c r="C218" s="25" t="s">
        <v>127</v>
      </c>
      <c r="D218" s="25"/>
      <c r="E218" s="25"/>
      <c r="Y218" s="25"/>
      <c r="AS218" s="25"/>
      <c r="AU218" s="27"/>
    </row>
    <row r="219">
      <c r="B219" s="24">
        <v>174.0</v>
      </c>
      <c r="C219" s="25" t="s">
        <v>127</v>
      </c>
      <c r="D219" s="25"/>
      <c r="E219" s="25"/>
      <c r="Y219" s="25"/>
      <c r="AS219" s="25"/>
      <c r="AU219" s="27"/>
    </row>
    <row r="220">
      <c r="B220" s="24">
        <v>175.0</v>
      </c>
      <c r="C220" s="25" t="s">
        <v>127</v>
      </c>
      <c r="D220" s="25"/>
      <c r="E220" s="25"/>
      <c r="Y220" s="25"/>
      <c r="AS220" s="25"/>
      <c r="AU220" s="27"/>
    </row>
    <row r="221">
      <c r="B221" s="24">
        <v>176.0</v>
      </c>
      <c r="C221" s="25" t="s">
        <v>127</v>
      </c>
      <c r="D221" s="25"/>
      <c r="E221" s="25"/>
      <c r="Y221" s="25"/>
      <c r="AS221" s="25"/>
      <c r="AU221" s="27"/>
    </row>
    <row r="222">
      <c r="B222" s="24">
        <v>177.0</v>
      </c>
      <c r="C222" s="25" t="s">
        <v>127</v>
      </c>
      <c r="D222" s="25"/>
      <c r="E222" s="25"/>
      <c r="Y222" s="25"/>
      <c r="AS222" s="25"/>
      <c r="AU222" s="27"/>
    </row>
    <row r="223">
      <c r="B223" s="24">
        <v>178.0</v>
      </c>
      <c r="C223" s="25" t="s">
        <v>127</v>
      </c>
      <c r="D223" s="25"/>
      <c r="E223" s="25"/>
      <c r="Y223" s="25"/>
      <c r="AS223" s="25"/>
      <c r="AU223" s="27"/>
    </row>
    <row r="224">
      <c r="B224" s="24">
        <v>179.0</v>
      </c>
      <c r="C224" s="25" t="s">
        <v>127</v>
      </c>
      <c r="D224" s="25"/>
      <c r="E224" s="25"/>
      <c r="Y224" s="25"/>
      <c r="AS224" s="25"/>
      <c r="AU224" s="27"/>
    </row>
    <row r="225">
      <c r="B225" s="24">
        <v>180.0</v>
      </c>
      <c r="C225" s="25" t="s">
        <v>127</v>
      </c>
      <c r="D225" s="25"/>
      <c r="E225" s="25"/>
      <c r="Y225" s="25"/>
      <c r="AS225" s="25"/>
      <c r="AU225" s="27"/>
    </row>
    <row r="226">
      <c r="B226" s="24">
        <v>181.0</v>
      </c>
      <c r="C226" s="25" t="s">
        <v>127</v>
      </c>
      <c r="D226" s="25"/>
      <c r="E226" s="25"/>
      <c r="Y226" s="25"/>
      <c r="AS226" s="25"/>
      <c r="AU226" s="27"/>
    </row>
    <row r="227">
      <c r="B227" s="24">
        <v>182.0</v>
      </c>
      <c r="C227" s="25" t="s">
        <v>127</v>
      </c>
      <c r="D227" s="25"/>
      <c r="E227" s="25"/>
      <c r="Y227" s="25"/>
      <c r="AS227" s="25"/>
      <c r="AU227" s="27"/>
    </row>
    <row r="228">
      <c r="B228" s="24">
        <v>183.0</v>
      </c>
      <c r="C228" s="25" t="s">
        <v>127</v>
      </c>
      <c r="D228" s="25"/>
      <c r="E228" s="25"/>
      <c r="Y228" s="25"/>
      <c r="AS228" s="25"/>
      <c r="AU228" s="27"/>
    </row>
    <row r="229">
      <c r="B229" s="24">
        <v>184.0</v>
      </c>
      <c r="C229" s="25" t="s">
        <v>127</v>
      </c>
      <c r="D229" s="25"/>
      <c r="E229" s="25"/>
      <c r="Y229" s="25"/>
      <c r="AS229" s="25"/>
      <c r="AU229" s="27"/>
    </row>
    <row r="230">
      <c r="B230" s="24">
        <v>185.0</v>
      </c>
      <c r="C230" s="25" t="s">
        <v>127</v>
      </c>
      <c r="D230" s="25"/>
      <c r="E230" s="25"/>
      <c r="Y230" s="25"/>
      <c r="AS230" s="25"/>
      <c r="AU230" s="27"/>
    </row>
    <row r="231">
      <c r="B231" s="24">
        <v>186.0</v>
      </c>
      <c r="C231" s="25" t="s">
        <v>127</v>
      </c>
      <c r="D231" s="25"/>
      <c r="E231" s="25"/>
      <c r="Y231" s="25"/>
      <c r="AS231" s="25"/>
      <c r="AU231" s="27"/>
    </row>
    <row r="232">
      <c r="B232" s="24">
        <v>187.0</v>
      </c>
      <c r="C232" s="25" t="s">
        <v>127</v>
      </c>
      <c r="D232" s="25"/>
      <c r="E232" s="25"/>
      <c r="Y232" s="25"/>
      <c r="AS232" s="25"/>
      <c r="AU232" s="27"/>
    </row>
    <row r="233">
      <c r="B233" s="24">
        <v>188.0</v>
      </c>
      <c r="C233" s="25" t="s">
        <v>127</v>
      </c>
      <c r="D233" s="25"/>
      <c r="E233" s="25"/>
      <c r="Y233" s="25"/>
      <c r="AS233" s="25"/>
      <c r="AU233" s="27"/>
    </row>
    <row r="234">
      <c r="B234" s="24">
        <v>189.0</v>
      </c>
      <c r="C234" s="25" t="s">
        <v>127</v>
      </c>
      <c r="D234" s="25"/>
      <c r="E234" s="25"/>
      <c r="Y234" s="25"/>
      <c r="AS234" s="25"/>
      <c r="AU234" s="27"/>
    </row>
    <row r="235">
      <c r="B235" s="24">
        <v>190.0</v>
      </c>
      <c r="C235" s="25" t="s">
        <v>127</v>
      </c>
      <c r="D235" s="25"/>
      <c r="E235" s="25"/>
      <c r="Y235" s="25"/>
      <c r="AS235" s="25"/>
      <c r="AU235" s="27"/>
    </row>
    <row r="236">
      <c r="B236" s="24">
        <v>191.0</v>
      </c>
      <c r="C236" s="25" t="s">
        <v>127</v>
      </c>
      <c r="D236" s="25"/>
      <c r="E236" s="25"/>
      <c r="Y236" s="25"/>
      <c r="AS236" s="25"/>
      <c r="AU236" s="27"/>
    </row>
    <row r="237">
      <c r="B237" s="24">
        <v>192.0</v>
      </c>
      <c r="C237" s="25" t="s">
        <v>127</v>
      </c>
      <c r="D237" s="25"/>
      <c r="E237" s="25"/>
      <c r="Y237" s="25"/>
      <c r="AS237" s="25"/>
      <c r="AU237" s="27"/>
    </row>
    <row r="238">
      <c r="B238" s="24">
        <v>193.0</v>
      </c>
      <c r="C238" s="25" t="s">
        <v>127</v>
      </c>
      <c r="D238" s="25"/>
      <c r="E238" s="25"/>
      <c r="Y238" s="25"/>
      <c r="AS238" s="25"/>
      <c r="AU238" s="27"/>
    </row>
    <row r="239">
      <c r="B239" s="24">
        <v>194.0</v>
      </c>
      <c r="C239" s="25" t="s">
        <v>127</v>
      </c>
      <c r="D239" s="25"/>
      <c r="E239" s="25"/>
      <c r="Y239" s="25"/>
      <c r="AS239" s="25"/>
      <c r="AU239" s="27"/>
    </row>
    <row r="240">
      <c r="B240" s="24">
        <v>195.0</v>
      </c>
      <c r="C240" s="25" t="s">
        <v>127</v>
      </c>
      <c r="D240" s="25"/>
      <c r="E240" s="25"/>
      <c r="Y240" s="25"/>
      <c r="AS240" s="25"/>
      <c r="AU240" s="27"/>
    </row>
    <row r="241">
      <c r="B241" s="24">
        <v>196.0</v>
      </c>
      <c r="C241" s="25" t="s">
        <v>127</v>
      </c>
      <c r="D241" s="25"/>
      <c r="E241" s="25"/>
      <c r="Y241" s="25"/>
      <c r="AS241" s="25"/>
      <c r="AU241" s="27"/>
    </row>
    <row r="242">
      <c r="B242" s="24">
        <v>197.0</v>
      </c>
      <c r="C242" s="25" t="s">
        <v>127</v>
      </c>
      <c r="D242" s="25"/>
      <c r="E242" s="25"/>
      <c r="Y242" s="25"/>
      <c r="AS242" s="25"/>
      <c r="AU242" s="27"/>
    </row>
    <row r="243">
      <c r="B243" s="24">
        <v>198.0</v>
      </c>
      <c r="C243" s="25" t="s">
        <v>127</v>
      </c>
      <c r="D243" s="25"/>
      <c r="E243" s="25"/>
      <c r="Y243" s="25"/>
      <c r="AS243" s="25"/>
      <c r="AU243" s="27"/>
    </row>
    <row r="244">
      <c r="B244" s="24">
        <v>199.0</v>
      </c>
      <c r="C244" s="25" t="s">
        <v>127</v>
      </c>
      <c r="D244" s="25"/>
      <c r="E244" s="25"/>
      <c r="Y244" s="25"/>
      <c r="AS244" s="25"/>
      <c r="AU244" s="27"/>
    </row>
    <row r="245">
      <c r="B245" s="24">
        <v>200.0</v>
      </c>
      <c r="C245" s="25" t="s">
        <v>127</v>
      </c>
      <c r="D245" s="25"/>
      <c r="E245" s="25"/>
      <c r="Y245" s="25"/>
      <c r="AS245" s="25"/>
      <c r="AU245" s="27"/>
    </row>
    <row r="246">
      <c r="B246" s="24">
        <v>201.0</v>
      </c>
      <c r="C246" s="25" t="s">
        <v>127</v>
      </c>
      <c r="D246" s="25"/>
      <c r="E246" s="25"/>
      <c r="Y246" s="25"/>
      <c r="AS246" s="25"/>
      <c r="AU246" s="27"/>
    </row>
    <row r="247">
      <c r="B247" s="24">
        <v>202.0</v>
      </c>
      <c r="C247" s="25" t="s">
        <v>127</v>
      </c>
      <c r="D247" s="25"/>
      <c r="E247" s="25"/>
      <c r="Y247" s="25"/>
      <c r="AS247" s="25"/>
      <c r="AU247" s="27"/>
    </row>
    <row r="248">
      <c r="B248" s="24">
        <v>203.0</v>
      </c>
      <c r="C248" s="25" t="s">
        <v>127</v>
      </c>
      <c r="D248" s="25"/>
      <c r="E248" s="25"/>
      <c r="Y248" s="25"/>
      <c r="AS248" s="25"/>
      <c r="AU248" s="27"/>
    </row>
    <row r="249">
      <c r="B249" s="24">
        <v>204.0</v>
      </c>
      <c r="C249" s="25" t="s">
        <v>127</v>
      </c>
      <c r="D249" s="25"/>
      <c r="E249" s="25"/>
      <c r="Y249" s="25"/>
      <c r="AS249" s="25"/>
      <c r="AU249" s="27"/>
    </row>
    <row r="250">
      <c r="B250" s="24">
        <v>205.0</v>
      </c>
      <c r="C250" s="25" t="s">
        <v>127</v>
      </c>
      <c r="D250" s="25"/>
      <c r="E250" s="25"/>
      <c r="Y250" s="25"/>
      <c r="AS250" s="25"/>
      <c r="AU250" s="27"/>
    </row>
    <row r="251">
      <c r="B251" s="24">
        <v>206.0</v>
      </c>
      <c r="C251" s="25" t="s">
        <v>127</v>
      </c>
      <c r="D251" s="25"/>
      <c r="E251" s="25"/>
      <c r="Y251" s="25"/>
      <c r="AS251" s="25"/>
      <c r="AU251" s="27"/>
    </row>
    <row r="252">
      <c r="B252" s="24">
        <v>207.0</v>
      </c>
      <c r="C252" s="25" t="s">
        <v>127</v>
      </c>
      <c r="D252" s="25"/>
      <c r="E252" s="25"/>
      <c r="Y252" s="25"/>
      <c r="AS252" s="25"/>
      <c r="AU252" s="27"/>
    </row>
    <row r="253">
      <c r="B253" s="24">
        <v>208.0</v>
      </c>
      <c r="C253" s="25" t="s">
        <v>127</v>
      </c>
      <c r="D253" s="25"/>
      <c r="E253" s="25"/>
      <c r="Y253" s="25"/>
      <c r="AS253" s="25"/>
      <c r="AU253" s="27"/>
    </row>
    <row r="254">
      <c r="B254" s="24">
        <v>209.0</v>
      </c>
      <c r="C254" s="25" t="s">
        <v>127</v>
      </c>
      <c r="D254" s="25"/>
      <c r="E254" s="25"/>
      <c r="Y254" s="25"/>
      <c r="AS254" s="25"/>
      <c r="AU254" s="27"/>
    </row>
    <row r="255">
      <c r="B255" s="24">
        <v>210.0</v>
      </c>
      <c r="C255" s="25" t="s">
        <v>127</v>
      </c>
      <c r="D255" s="25"/>
      <c r="E255" s="25"/>
      <c r="Y255" s="25"/>
      <c r="AS255" s="25"/>
      <c r="AU255" s="27"/>
    </row>
    <row r="256">
      <c r="B256" s="24">
        <v>211.0</v>
      </c>
      <c r="C256" s="25" t="s">
        <v>127</v>
      </c>
      <c r="D256" s="25"/>
      <c r="E256" s="25"/>
      <c r="Y256" s="25"/>
      <c r="AS256" s="25"/>
      <c r="AU256" s="27"/>
    </row>
    <row r="257">
      <c r="B257" s="24">
        <v>212.0</v>
      </c>
      <c r="C257" s="25" t="s">
        <v>127</v>
      </c>
      <c r="D257" s="25"/>
      <c r="E257" s="25"/>
      <c r="Y257" s="25"/>
      <c r="AS257" s="25"/>
      <c r="AU257" s="27"/>
    </row>
    <row r="258">
      <c r="B258" s="24">
        <v>213.0</v>
      </c>
      <c r="C258" s="25" t="s">
        <v>127</v>
      </c>
      <c r="D258" s="25"/>
      <c r="E258" s="25"/>
      <c r="Y258" s="25"/>
      <c r="AS258" s="25"/>
      <c r="AU258" s="27"/>
    </row>
    <row r="259">
      <c r="B259" s="24">
        <v>214.0</v>
      </c>
      <c r="C259" s="25" t="s">
        <v>127</v>
      </c>
      <c r="D259" s="25"/>
      <c r="E259" s="25"/>
      <c r="Y259" s="25"/>
      <c r="AS259" s="25"/>
      <c r="AU259" s="27"/>
    </row>
    <row r="260">
      <c r="B260" s="24">
        <v>215.0</v>
      </c>
      <c r="C260" s="25" t="s">
        <v>127</v>
      </c>
      <c r="D260" s="25"/>
      <c r="E260" s="25"/>
      <c r="Y260" s="25"/>
      <c r="AS260" s="25"/>
      <c r="AU260" s="27"/>
    </row>
    <row r="261">
      <c r="B261" s="24">
        <v>216.0</v>
      </c>
      <c r="C261" s="25" t="s">
        <v>127</v>
      </c>
      <c r="D261" s="25"/>
      <c r="E261" s="25"/>
      <c r="Y261" s="25"/>
      <c r="AS261" s="25"/>
      <c r="AU261" s="27"/>
    </row>
    <row r="262">
      <c r="B262" s="24">
        <v>217.0</v>
      </c>
      <c r="C262" s="25" t="s">
        <v>127</v>
      </c>
      <c r="D262" s="25"/>
      <c r="E262" s="25"/>
      <c r="Y262" s="25"/>
      <c r="AS262" s="25"/>
      <c r="AU262" s="27"/>
    </row>
    <row r="263">
      <c r="B263" s="24">
        <v>218.0</v>
      </c>
      <c r="C263" s="25" t="s">
        <v>127</v>
      </c>
      <c r="D263" s="25"/>
      <c r="E263" s="25"/>
      <c r="Y263" s="25"/>
      <c r="AS263" s="25"/>
      <c r="AU263" s="27"/>
    </row>
    <row r="264">
      <c r="B264" s="24">
        <v>219.0</v>
      </c>
      <c r="C264" s="25" t="s">
        <v>127</v>
      </c>
      <c r="D264" s="25"/>
      <c r="E264" s="25"/>
      <c r="Y264" s="25"/>
      <c r="AS264" s="25"/>
      <c r="AU264" s="27"/>
    </row>
    <row r="265">
      <c r="B265" s="24">
        <v>220.0</v>
      </c>
      <c r="C265" s="25" t="s">
        <v>127</v>
      </c>
      <c r="D265" s="25"/>
      <c r="E265" s="25"/>
      <c r="Y265" s="25"/>
      <c r="AS265" s="25"/>
      <c r="AU265" s="27"/>
    </row>
    <row r="266">
      <c r="B266" s="24">
        <v>221.0</v>
      </c>
      <c r="C266" s="25" t="s">
        <v>127</v>
      </c>
      <c r="D266" s="25"/>
      <c r="E266" s="25"/>
      <c r="Y266" s="25"/>
      <c r="AS266" s="25"/>
      <c r="AU266" s="27"/>
    </row>
    <row r="267">
      <c r="B267" s="24">
        <v>222.0</v>
      </c>
      <c r="C267" s="25" t="s">
        <v>127</v>
      </c>
      <c r="D267" s="25"/>
      <c r="E267" s="25"/>
      <c r="Y267" s="25"/>
      <c r="AS267" s="25"/>
      <c r="AU267" s="27"/>
    </row>
    <row r="268">
      <c r="B268" s="24">
        <v>223.0</v>
      </c>
      <c r="C268" s="25" t="s">
        <v>127</v>
      </c>
      <c r="D268" s="25"/>
      <c r="E268" s="25"/>
      <c r="Y268" s="25"/>
      <c r="AS268" s="25"/>
      <c r="AU268" s="27"/>
    </row>
    <row r="269">
      <c r="B269" s="24">
        <v>224.0</v>
      </c>
      <c r="C269" s="25" t="s">
        <v>127</v>
      </c>
      <c r="D269" s="25"/>
      <c r="E269" s="25"/>
      <c r="Y269" s="25"/>
      <c r="AS269" s="25"/>
      <c r="AU269" s="27"/>
    </row>
    <row r="270">
      <c r="B270" s="24">
        <v>225.0</v>
      </c>
      <c r="C270" s="25" t="s">
        <v>127</v>
      </c>
      <c r="D270" s="25"/>
      <c r="E270" s="25"/>
      <c r="Y270" s="25"/>
      <c r="AS270" s="25"/>
      <c r="AU270" s="27"/>
    </row>
    <row r="271">
      <c r="B271" s="24">
        <v>226.0</v>
      </c>
      <c r="C271" s="25" t="s">
        <v>127</v>
      </c>
      <c r="D271" s="25"/>
      <c r="E271" s="25"/>
      <c r="Y271" s="25"/>
      <c r="AS271" s="25"/>
      <c r="AU271" s="27"/>
    </row>
    <row r="272">
      <c r="B272" s="24">
        <v>227.0</v>
      </c>
      <c r="C272" s="25" t="s">
        <v>127</v>
      </c>
      <c r="D272" s="25"/>
      <c r="E272" s="25"/>
      <c r="Y272" s="25"/>
      <c r="AS272" s="25"/>
      <c r="AU272" s="27"/>
    </row>
    <row r="273">
      <c r="B273" s="24">
        <v>228.0</v>
      </c>
      <c r="C273" s="25" t="s">
        <v>127</v>
      </c>
      <c r="D273" s="25"/>
      <c r="E273" s="25"/>
      <c r="Y273" s="25"/>
      <c r="AS273" s="25"/>
      <c r="AU273" s="27"/>
    </row>
    <row r="274">
      <c r="B274" s="24">
        <v>229.0</v>
      </c>
      <c r="C274" s="25" t="s">
        <v>127</v>
      </c>
      <c r="D274" s="25"/>
      <c r="E274" s="25"/>
      <c r="Y274" s="25"/>
      <c r="AS274" s="25"/>
      <c r="AU274" s="27"/>
    </row>
    <row r="275">
      <c r="B275" s="24">
        <v>230.0</v>
      </c>
      <c r="C275" s="25" t="s">
        <v>127</v>
      </c>
      <c r="D275" s="25"/>
      <c r="E275" s="25"/>
      <c r="Y275" s="25"/>
      <c r="AS275" s="25"/>
      <c r="AU275" s="27"/>
    </row>
    <row r="276">
      <c r="B276" s="24">
        <v>231.0</v>
      </c>
      <c r="C276" s="25" t="s">
        <v>127</v>
      </c>
      <c r="D276" s="25"/>
      <c r="E276" s="25"/>
      <c r="Y276" s="25"/>
      <c r="AS276" s="25"/>
      <c r="AU276" s="27"/>
    </row>
    <row r="277">
      <c r="B277" s="24">
        <v>232.0</v>
      </c>
      <c r="C277" s="25" t="s">
        <v>127</v>
      </c>
      <c r="D277" s="25"/>
      <c r="E277" s="25"/>
      <c r="Y277" s="25"/>
      <c r="AS277" s="25"/>
      <c r="AU277" s="27"/>
    </row>
    <row r="278">
      <c r="B278" s="24">
        <v>233.0</v>
      </c>
      <c r="C278" s="25" t="s">
        <v>127</v>
      </c>
      <c r="D278" s="25"/>
      <c r="E278" s="25"/>
      <c r="Y278" s="25"/>
      <c r="AS278" s="25"/>
      <c r="AU278" s="27"/>
    </row>
    <row r="279">
      <c r="B279" s="24">
        <v>234.0</v>
      </c>
      <c r="C279" s="25" t="s">
        <v>127</v>
      </c>
      <c r="D279" s="25"/>
      <c r="E279" s="25"/>
      <c r="Y279" s="25"/>
      <c r="AS279" s="25"/>
      <c r="AU279" s="27"/>
    </row>
    <row r="280">
      <c r="B280" s="24">
        <v>235.0</v>
      </c>
      <c r="C280" s="25" t="s">
        <v>127</v>
      </c>
      <c r="D280" s="25"/>
      <c r="E280" s="25"/>
      <c r="Y280" s="25"/>
      <c r="AS280" s="25"/>
      <c r="AU280" s="27"/>
    </row>
    <row r="281">
      <c r="B281" s="24">
        <v>236.0</v>
      </c>
      <c r="C281" s="25" t="s">
        <v>127</v>
      </c>
      <c r="D281" s="25"/>
      <c r="E281" s="25"/>
      <c r="Y281" s="25"/>
      <c r="AS281" s="25"/>
      <c r="AU281" s="27"/>
    </row>
    <row r="282">
      <c r="B282" s="24">
        <v>237.0</v>
      </c>
      <c r="C282" s="25" t="s">
        <v>127</v>
      </c>
      <c r="D282" s="25"/>
      <c r="E282" s="25"/>
      <c r="Y282" s="25"/>
      <c r="AS282" s="25"/>
      <c r="AU282" s="27"/>
    </row>
    <row r="283">
      <c r="B283" s="24">
        <v>238.0</v>
      </c>
      <c r="C283" s="25" t="s">
        <v>127</v>
      </c>
      <c r="D283" s="25"/>
      <c r="E283" s="25"/>
      <c r="Y283" s="25"/>
      <c r="AS283" s="25"/>
      <c r="AU283" s="27"/>
    </row>
    <row r="284">
      <c r="B284" s="24">
        <v>239.0</v>
      </c>
      <c r="C284" s="25" t="s">
        <v>127</v>
      </c>
      <c r="D284" s="25"/>
      <c r="E284" s="25"/>
      <c r="Y284" s="25"/>
      <c r="AS284" s="25"/>
      <c r="AU284" s="27"/>
    </row>
    <row r="285">
      <c r="B285" s="24">
        <v>240.0</v>
      </c>
      <c r="C285" s="25" t="s">
        <v>127</v>
      </c>
      <c r="D285" s="25"/>
      <c r="E285" s="25"/>
      <c r="Y285" s="25"/>
      <c r="AS285" s="25"/>
      <c r="AU285" s="27"/>
    </row>
    <row r="286">
      <c r="B286" s="24">
        <v>241.0</v>
      </c>
      <c r="C286" s="25" t="s">
        <v>127</v>
      </c>
      <c r="D286" s="25"/>
      <c r="E286" s="25"/>
      <c r="Y286" s="25"/>
      <c r="AS286" s="25"/>
      <c r="AU286" s="27"/>
    </row>
    <row r="287">
      <c r="B287" s="24">
        <v>242.0</v>
      </c>
      <c r="C287" s="25" t="s">
        <v>127</v>
      </c>
      <c r="D287" s="25"/>
      <c r="E287" s="25"/>
      <c r="Y287" s="25"/>
      <c r="AS287" s="25"/>
      <c r="AU287" s="27"/>
    </row>
    <row r="288">
      <c r="B288" s="24">
        <v>243.0</v>
      </c>
      <c r="C288" s="25" t="s">
        <v>127</v>
      </c>
      <c r="D288" s="25"/>
      <c r="E288" s="25"/>
      <c r="Y288" s="25"/>
      <c r="AS288" s="25"/>
      <c r="AU288" s="27"/>
    </row>
    <row r="289">
      <c r="B289" s="24">
        <v>244.0</v>
      </c>
      <c r="C289" s="25" t="s">
        <v>127</v>
      </c>
      <c r="D289" s="25"/>
      <c r="E289" s="25"/>
      <c r="Y289" s="25"/>
      <c r="AS289" s="25"/>
      <c r="AU289" s="27"/>
    </row>
    <row r="290">
      <c r="B290" s="24">
        <v>245.0</v>
      </c>
      <c r="C290" s="25" t="s">
        <v>127</v>
      </c>
      <c r="D290" s="25"/>
      <c r="E290" s="25"/>
      <c r="Y290" s="25"/>
      <c r="AS290" s="25"/>
      <c r="AU290" s="27"/>
    </row>
    <row r="291">
      <c r="B291" s="24">
        <v>246.0</v>
      </c>
      <c r="C291" s="25" t="s">
        <v>127</v>
      </c>
      <c r="D291" s="25"/>
      <c r="E291" s="25"/>
      <c r="Y291" s="25"/>
      <c r="AS291" s="25"/>
      <c r="AU291" s="27"/>
    </row>
    <row r="292">
      <c r="B292" s="24">
        <v>247.0</v>
      </c>
      <c r="C292" s="25" t="s">
        <v>127</v>
      </c>
      <c r="D292" s="25"/>
      <c r="E292" s="25"/>
      <c r="Y292" s="25"/>
      <c r="AS292" s="25"/>
      <c r="AU292" s="27"/>
    </row>
    <row r="293">
      <c r="B293" s="24">
        <v>248.0</v>
      </c>
      <c r="C293" s="25" t="s">
        <v>127</v>
      </c>
      <c r="D293" s="25"/>
      <c r="E293" s="25"/>
      <c r="Y293" s="25"/>
      <c r="AS293" s="25"/>
      <c r="AU293" s="27"/>
    </row>
    <row r="294">
      <c r="B294" s="24">
        <v>249.0</v>
      </c>
      <c r="C294" s="25" t="s">
        <v>127</v>
      </c>
      <c r="D294" s="25"/>
      <c r="E294" s="25"/>
      <c r="Y294" s="25"/>
      <c r="AS294" s="25"/>
      <c r="AU294" s="27"/>
    </row>
    <row r="295">
      <c r="B295" s="24">
        <v>250.0</v>
      </c>
      <c r="C295" s="25" t="s">
        <v>127</v>
      </c>
      <c r="D295" s="25"/>
      <c r="E295" s="25"/>
      <c r="Y295" s="25"/>
      <c r="AS295" s="25"/>
      <c r="AU295" s="27"/>
    </row>
    <row r="296">
      <c r="B296" s="24">
        <v>251.0</v>
      </c>
      <c r="C296" s="25" t="s">
        <v>127</v>
      </c>
      <c r="D296" s="25"/>
      <c r="E296" s="25"/>
      <c r="Y296" s="25"/>
      <c r="AS296" s="25"/>
      <c r="AU296" s="27"/>
    </row>
    <row r="297">
      <c r="B297" s="24">
        <v>252.0</v>
      </c>
      <c r="C297" s="25" t="s">
        <v>127</v>
      </c>
      <c r="D297" s="25"/>
      <c r="E297" s="25"/>
      <c r="Y297" s="25"/>
      <c r="AS297" s="25"/>
      <c r="AU297" s="27"/>
    </row>
    <row r="298">
      <c r="B298" s="24">
        <v>253.0</v>
      </c>
      <c r="C298" s="25" t="s">
        <v>127</v>
      </c>
      <c r="D298" s="25"/>
      <c r="E298" s="25"/>
      <c r="Y298" s="25"/>
      <c r="AS298" s="25"/>
      <c r="AU298" s="27"/>
    </row>
    <row r="299">
      <c r="B299" s="38">
        <v>254.0</v>
      </c>
      <c r="C299" s="39" t="s">
        <v>127</v>
      </c>
      <c r="D299" s="39"/>
      <c r="E299" s="39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39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39"/>
      <c r="AT299" s="40"/>
      <c r="AU299" s="41"/>
    </row>
    <row r="302">
      <c r="Z302" s="26">
        <v>5.0</v>
      </c>
      <c r="AA302" s="26">
        <v>0.0</v>
      </c>
      <c r="AB302" s="26">
        <v>1.0</v>
      </c>
      <c r="AC302" s="26">
        <v>1.0</v>
      </c>
      <c r="AD302" s="26">
        <v>24.0</v>
      </c>
      <c r="AE302" s="26">
        <v>23.0</v>
      </c>
      <c r="AF302" s="26">
        <v>8.0</v>
      </c>
      <c r="AG302" s="26">
        <v>0.0</v>
      </c>
      <c r="AH302" s="26">
        <v>10.0</v>
      </c>
      <c r="AI302" s="26">
        <v>12.0</v>
      </c>
      <c r="AJ302" s="26">
        <v>4.0</v>
      </c>
      <c r="AK302" s="26">
        <v>12.0</v>
      </c>
      <c r="AL302" s="26">
        <v>10.0</v>
      </c>
      <c r="AM302" s="26">
        <v>13.0</v>
      </c>
      <c r="AN302" s="26">
        <v>3.0</v>
      </c>
      <c r="AO302" s="26">
        <v>14.0</v>
      </c>
      <c r="AP302" s="26">
        <v>20.0</v>
      </c>
      <c r="AQ302" s="26">
        <v>25.0</v>
      </c>
      <c r="AR302" s="26">
        <v>31.0</v>
      </c>
      <c r="AS302" s="25">
        <v>29.0</v>
      </c>
    </row>
  </sheetData>
  <mergeCells count="10">
    <mergeCell ref="F38:Y38"/>
    <mergeCell ref="Z38:AS38"/>
    <mergeCell ref="AT38:AU39"/>
    <mergeCell ref="B4:B6"/>
    <mergeCell ref="C4:M34"/>
    <mergeCell ref="P4:Q6"/>
    <mergeCell ref="R4:AB34"/>
    <mergeCell ref="AE4:AF6"/>
    <mergeCell ref="AG4:AQ34"/>
    <mergeCell ref="B38:B3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3" max="3" width="19.25"/>
    <col customWidth="1" min="4" max="35" width="7.63"/>
  </cols>
  <sheetData>
    <row r="4">
      <c r="B4" s="1" t="s">
        <v>0</v>
      </c>
      <c r="C4" s="2" t="str">
        <f>IFERROR(__xludf.DUMMYFUNCTION("JOIN("""", TOROW(MAP({D40:AI86}, LAMBDA(cell, IF(ISBLANK(cell), DEC2HEX(65535), CONCATENATE(RIGHT(DEC2HEX(cell, 4), 2), LEFT(DEC2HEX(cell, 4), 2))   ) ))))                "),"4A00FFFFFFFFFFFFFFFFFFFFFFFFFFFFFFFFFFFFFFFFFFFFFFFFFFFFFFFFFFFF4B00FFFFFFFFFFFFFFFFFFFFFFFFFFFFFFFFFFFFFFFFFFFFFFFFFFFFFFFFFFFF4C004D004E004F00FFFFFFFFFFFFFFFFFFFFFFFFFFFFFFFFFFFFFFFFFFFFFFFF5000510052005300FFFFFFFFFFFFFFFFFFFFFFFFFFFFFFFFFFFFFFFFFFFFFFF"&amp;"F5400FFFFFFFFFFFFFFFFFFFFFFFFFFFFFFFFFFFFFFFFFFFFFFFFFFFFFFFFFFFF5500FFFFFFFFFFFFFFFFFFFFFFFFFFFFFFFFFFFFFFFFFFFFFFFFFFFFFFFFFFFF5600570058005900FFFFFFFFFFFFFFFFFFFFFFFFFFFFFFFFFFFFFFFFFFFFFFFF5A005B005C005D00FFFFFFFFFFFFFFFFFFFFFFFFFFFFFFFFFFFFFFFFFFFFFF"&amp;"FF5E00FFFFFFFFFFFFFFFFFFFFFFFFFFFFFFFFFFFFFFFFFFFFFFFFFFFFFFFFFFFFFFFFFFFFFFFFFFFFFFFFFFFFFFFFFFFFFFFFFFFFFFFFFFFFFFFFFFFFFFFFFFFF5F00FFFFFFFFFFFFFFFFFFFFFFFFFFFFFFFFFFFFFFFFFFFFFFFFFFFFFFFFFFFFFFFFFFFFFFFFFFFFFFFFFFFFFFFFFFFFFFFFFFFFFFFFFFFFFFFFFFFFFFFFF"&amp;"FFF6000FFFFFFFFFFFFFFFFFFFFFFFFFFFFFFFFFFFFFFFFFFFFFFFFFFFFFFFFFFFF6100FFFFFFFFFFFFFFFFFFFFFFFFFFFFFFFFFFFFFFFFFFFFFFFFFFFFFFFFFFFF6200FFFFFFFFFFFFFFFFFFFFFFFFFFFFFFFFFFFFFFFFFFFFFFFFFFFFFFFFFFFFFFFFFFFFFFFFFFFFFFFFFFFFFFFFFFFFFFFFFFFFFFFFFFFFFFFFFFFFFFFF"&amp;"FFFF6300FFFFFFFFFFFFFFFFFFFFFFFFFFFFFFFFFFFFFFFFFFFFFFFFFFFFFFFFFFFF6400FFFFFFFFFFFFFFFFFFFFFFFFFFFFFFFFFFFFFFFFFFFFFFFFFFFFFFFFFFFF6500FFFFFFFFFFFFFFFFFFFFFFFFFFFFFFFFFFFFFFFFFFFFFFFFFFFFFFFFFFFFFFFFFFFFFFFFFFFFFFFFFFFFFFFFFFFFFFFFFFFFFFFFFFFFFFFFFFFFFFF"&amp;"FFFFF6600FFFFFFFFFFFFFFFFFFFFFFFFFFFFFFFFFFFFFFFFFFFFFFFFFFFFFFFFFFFFFFFFFFFFFFFFFFFFFFFFFFFFFFFFFFFFFFFFFFFFFFFFFFFFFFFFFFFFFFFFFFFF6700FFFFFFFFFFFFFFFFFFFFFFFFFFFF6800FFFFFFFFFFFFFFFFFFFFFFFFFFFFFFFFFFFFFFFFFFFFFFFFFFFFFFFFFFFFFFFFFFFFFFFFFFFFFFFFFFFFFF"&amp;"FFFFFF6900FFFFFFFFFFFFFFFFFFFFFFFFFFFF6A00FFFFFFFFFFFFFFFFFFFFFFFFFFFFFFFFFFFFFFFFFFFFFFFFFFFFFFFFFFFFFFFFFFFFFFFFFFFFFFFFFFFFFFFFFFFF6B00FFFFFFFFFFFFFFFFFFFFFFFFFFFF6C00FFFFFFFFFFFFFFFFFFFFFFFFFFFFFFFFFFFFFFFFFFFFFFFFFFFFFFFFFFFFFFFFFFFFFFFFFFFFFFFFFFFFF"&amp;"FFFFFFF6D00FFFFFFFFFFFFFFFFFFFFFFFFFFFF6E00FFFFFFFFFFFFFFFFFFFFFFFFFFFFFFFFFFFFFFFFFFFFFFFFFFFFFFFFFFFFFFFFFFFFFFFFFFFFFFFFFFFFFFFFFFFF6F00FFFFFFFFFFFFFFFFFFFFFFFFFFFF7000FFFFFFFFFFFFFFFFFFFFFFFFFFFFFFFFFFFFFFFFFFFFFFFFFFFFFFFFFFFFFFFFFFFFFFFFFFFFFFFFFFFF"&amp;"FFFFFFFF6200FFFFFFFFFFFFFFFFFFFFFFFFFFFFFFFFFFFFFFFFFFFFFFFFFFFFFFFFFFFFFFFFFFFFFFFFFFFFFFFFFFFFFFFFFFFFFFFFFFFFFFFFFFFFFFFFFFFFFFFFFFFF7100FFFFFFFFFFFFFFFFFFFFFFFFFFFF7200FFFFFFFFFFFFFFFFFFFFFFFFFFFFFFFFFFFFFFFFFFFFFFFFFFFFFFFFFFFFFFFFFFFFFFFFFFFFFFFFFFF"&amp;"FFFFFFFFF7300FFFFFFFFFFFFFFFFFFFFFFFFFFFF7400FFFFFFFFFFFFFFFFFFFFFFFFFFFF7500FFFFFFFFFFFFFFFFFFFFFFFFFFFFFFFFFFFFFFFFFFFFFFFFFFFFFFFFFFFF7600FFFFFFFFFFFFFFFFFFFFFFFFFFFFFFFFFFFFFFFFFFFFFFFFFFFFFFFFFFFF7700FFFFFFFFFFFFFFFFFFFFFFFFFFFFFFFFFFFFFFFFFFFFFFFFFF"&amp;"FFFFFFFFFF7800FFFFFFFFFFFFFFFFFFFFFFFFFFFFFFFFFFFFFFFFFFFFFFFFFFFFFFFFFFFFFFFFFFFFFFFFFFFFFFFFFFFFFFFFFFFFFFFFFFFFFFFFFFFFFFFFFFFFFFFFFFFF7900FFFFFFFFFFFF7A007B007C007D007E00FFFFFFFFFFFF7F008000810082008300FFFFFFFFFFFF84008500860087008800FFFFFFFFFFFF89008"&amp;"A008B008C008D00FFFFFFFFFFFF8E008F00900091009200FFFFFFFFFFFF93009400950096009700FFFFFFFFFFFF980099009A009B009C00FFFFFFFFFFFF9D009E009F00A000A100FFFFFFFFFFFFA200A300A400A500A600FFFFFFFFFFFFA700A800A900AA00AB00FFFFFFFFFFFFAC00AD00AE00AF00B000FFFFFFFFFFFFB100"&amp;"B200B300B400B500FFFFFFFFFFFFB600FFFFFFFFFFFFB700FFFFFFFFFFFFB800FFFFFFFFFFFFB900FFFFFFFFFFFFBA00FFFFFFFFFFFFBB00FFFFFFFFFFFFBC00FFFFFFFFFFFFBD00FFFFFFFFFFFFBE00BF00C000FFFFC100FFFFFFFFFFFFC200C300C400FFFFC500FFFFFFFFFFFFC600C700C800FFFFC900FFFFFFFFFFFFCA0"&amp;"0CB00CC00FFFFCD00FFFFFFFFFFFFCE00CF00D000FFFFD100FFFFFFFFFFFFD200D300D400FFFFD500FFFFFFFFFFFFD600D700D800FFFFD900FFFFFFFFFFFFDA00DB00DC00FFFFDD00FFFFFFFFFFFFDE00DF00E000FFFFE100FFFFFFFFFFFFE200E300E400FFFFE500FFFFFFFFFFFFE600E700E800FFFFE900FFFFFFFFFFFFEA"&amp;"00EB00EC00FFFFED00FFFFFFFFFFFFEE00EF00F000FFFFF100FFFFFFFFFFFFF200F300F400FFFFF500FFFFFFFFFFFFF600F700F800FFFFF900FFFFFFFFFFFFFA00FB00FC00FFFFFD00FFFFFFFFFFFFFE00FF00000101010201FFFFFFFFFFFF03010401050106010701FFFFFFFFFFFF080109010A010B010C01FFFFFFFFFFFF0"&amp;"D010E010F0110011101FFFFFFFFFFFF12011301140115011601FFFFFFFFFFFF1701180119011A011B01FFFFFFFFFFFF1C011D011E011F012001FFFFFFFFFFFF21012201230124012501FFFFFFFFFFFF26012701280129012A01FFFFFFFFFFFF2B012C012D012E012F01FFFFFFFFFFFF30013101320133013401FFFFFFFFFFFF"&amp;"35013601370138013901FFFFFFFFFFFF3A013B01FFFFFFFF3C01FFFFFFFFFFFF3D013E01FFFFFFFF3F01FFFFFFFFFFFF40014101FFFFFFFF4201FFFFFFFFFFFF43014401FFFFFFFF4501FFFFFFFFFFFF46014701FFFFFFFF4801FFFFFFFFFFFF49014A01FFFFFFFF4B01FFFFFFFFFFFF4B014C01FFFFFFFF4D01FFFFFFFFFFF"&amp;"F4D014E01FFFFFFFF4F01FFFFFFFFFFFFFFFFFFFFFFFFFFFFFFFFFFFFFFFFFFFFFFFFFFFFFFFFFFFFFFFFFFFFFFFFFFFFFFFFFFFFFFFFFFFFFFFFFFFFFFFFFFFFFFFFFFFFFFFFFFFF4F01FFFFFFFFFFFFFFFFFFFFFFFFFFFFFFFFFFFFFFFFFFFFFFFFFFFFFFFFFFFFFFFFFFFFFFFFFFFFFFFFFFFFFFFFFFFFFFFFFFFFFFFFFF"&amp;"FFFFFFFFFFFFFFFFFF4F01FFFFFFFFFFFFFFFFFFFFFFFFFFFFFFFFFFFFFFFFFFFFFFFFFFFFFFFFFFFFFFFFFFFFFFFFFFFFFFFFFFFFFFFFFFFFFFFFFFFFFFFFFFFFFFFFFFFFFFFFFFFF5001FFFFFFFFFFFFFFFFFFFFFFFFFFFF5101FFFFFFFFFFFFFFFFFFFFFFFFFFFF5201FFFFFFFFFFFFFFFFFFFFFFFFFFFFFFFFFFFFFFFFF"&amp;"FFFFFFFFFFFFFFFFFFF5301FFFFFFFFFFFFFFFFFFFFFFFFFFFFFFFFFFFFFFFFFFFFFFFFFFFFFFFFFFFFFFFFFFFFFFFFFFFFFFFFFFFFFFFFFFFFFFFFFFFFFFFFFFFFFFFFFFFFFFFFFFFF5401FFFFFFFFFFFFFFFFFFFFFFFFFFFFFFFFFFFFFFFFFFFFFFFFFFFFFFFFFFFFFFFFFFFFFFFFFFFFFFFFFFFFFFFFFFFFFFFFFFFFFFFF"&amp;"FFFFFFFFFFFFFFFFFFFF5501FFFFFFFFFFFFFFFFFFFFFFFFFFFFFFFFFFFFFFFFFFFFFFFFFFFFFFFFFFFFFFFFFFFFFFFFFFFFFFFFFFFFFFFFFFFFFFFFFFFFFFFFFFFFFFFFFFFFFFFFFFFF5601FFFFFFFFFFFFFFFFFFFFFFFFFFFFFFFFFFFFFFFFFFFFFFFFFFFFFFFFFFFFFFFFFFFFFFFFFFFFFFFFFFFFFFFFFFFFFFFFFFFFFFF"&amp;"FFFFFFFFFFFFFFFFFFFFF5701FFFFFFFFFFFFFFFFFFFFFFFFFFFFFFFFFFFFFFFFFFFFFFFFFFFFFFFFFFFFFFFFFFFFFFFFFFFFFFFFFFFFFFFFFFFFFFFFFFFFFFFFFFFFFFFFFFFFFFFFFFFF5801FFFFFFFFFFFFFFFFFFFFFFFFFFFFFFFFFFFFFFFFFFFFFFFFFFFFFFFFFFFFFFFFFFFFFFFFFFFFFFFFFFFFFFFFFFFFFFFFFFFFFF"&amp;"FFFFFFFFFFFFFFFFFFFFFF5901FFFFFFFFFFFFFFFFFFFFFFFFFFFFFFFFFFFFFFFFFFFFFFFFFFFFFFFFFFFFFFFFFFFFFFFFFFFFFFFFFFFFFFFFFFFFFFFFFFFFFFFFFFFFFFFFFFFFFFFFFFFF5A01FFFFFFFFFFFFFFFFFFFFFFFFFFFFFFFFFFFFFFFFFFFFFFFFFFFFFFFFFFFFFFFFFFFFFFFFFFFFFFFFFFFFFFFFFFFFFFFFFFFFF"&amp;"FFFFFFFFFFFFFFFFFFFFFFF5B01FFFFFFFFFFFF5C01FFFFFFFFFFFF5D01FFFFFFFFFFFF5E01FFFFFFFFFFFFFFFFFFFFFFFFFFFFFFFFFFFFFFFFFFFF5F01FFFFFFFFFFFF6001FFFFFFFFFFFF")</f>
        <v>4A00FFFFFFFFFFFFFFFFFFFFFFFFFFFFFFFFFFFFFFFFFFFFFFFFFFFFFFFFFFFF4B00FFFFFFFFFFFFFFFFFFFFFFFFFFFFFFFFFFFFFFFFFFFFFFFFFFFFFFFFFFFF4C004D004E004F00FFFFFFFFFFFFFFFFFFFFFFFFFFFFFFFFFFFFFFFFFFFFFFFF5000510052005300FFFFFFFFFFFFFFFFFFFFFFFFFFFFFFFFFFFFFFFFFFFFFFFF5400FFFFFFFFFFFFFFFFFFFFFFFFFFFFFFFFFFFFFFFFFFFFFFFFFFFFFFFFFFFF5500FFFFFFFFFFFFFFFFFFFFFFFFFFFFFFFFFFFFFFFFFFFFFFFFFFFFFFFFFFFF5600570058005900FFFFFFFFFFFFFFFFFFFFFFFFFFFFFFFFFFFFFFFFFFFFFFFF5A005B005C005D00FFFFFFFFFFFFFFFFFFFFFFFFFFFFFFFFFFFFFFFFFFFFFFFF5E00FFFFFFFFFFFFFFFFFFFFFFFFFFFFFFFFFFFFFFFFFFFFFFFFFFFFFFFFFFFFFFFFFFFFFFFFFFFFFFFFFFFFFFFFFFFFFFFFFFFFFFFFFFFFFFFFFFFFFFFFFFFF5F00FFFFFFFFFFFFFFFFFFFFFFFFFFFFFFFFFFFFFFFFFFFFFFFFFFFFFFFFFFFFFFFFFFFFFFFFFFFFFFFFFFFFFFFFFFFFFFFFFFFFFFFFFFFFFFFFFFFFFFFFFFFF6000FFFFFFFFFFFFFFFFFFFFFFFFFFFFFFFFFFFFFFFFFFFFFFFFFFFFFFFFFFFF6100FFFFFFFFFFFFFFFFFFFFFFFFFFFFFFFFFFFFFFFFFFFFFFFFFFFFFFFFFFFF6200FFFFFFFFFFFFFFFFFFFFFFFFFFFFFFFFFFFFFFFFFFFFFFFFFFFFFFFFFFFFFFFFFFFFFFFFFFFFFFFFFFFFFFFFFFFFFFFFFFFFFFFFFFFFFFFFFFFFFFFFFFFF6300FFFFFFFFFFFFFFFFFFFFFFFFFFFFFFFFFFFFFFFFFFFFFFFFFFFFFFFFFFFF6400FFFFFFFFFFFFFFFFFFFFFFFFFFFFFFFFFFFFFFFFFFFFFFFFFFFFFFFFFFFF6500FFFFFFFFFFFFFFFFFFFFFFFFFFFFFFFFFFFFFFFFFFFFFFFFFFFFFFFFFFFFFFFFFFFFFFFFFFFFFFFFFFFFFFFFFFFFFFFFFFFFFFFFFFFFFFFFFFFFFFFFFFFF6600FFFFFFFFFFFFFFFFFFFFFFFFFFFFFFFFFFFFFFFFFFFFFFFFFFFFFFFFFFFFFFFFFFFFFFFFFFFFFFFFFFFFFFFFFFFFFFFFFFFFFFFFFFFFFFFFFFFFFFFFFFFF6700FFFFFFFFFFFFFFFFFFFFFFFFFFFF6800FFFFFFFFFFFFFFFFFFFFFFFFFFFFFFFFFFFFFFFFFFFFFFFFFFFFFFFFFFFFFFFFFFFFFFFFFFFFFFFFFFFFFFFFFFFF6900FFFFFFFFFFFFFFFFFFFFFFFFFFFF6A00FFFFFFFFFFFFFFFFFFFFFFFFFFFFFFFFFFFFFFFFFFFFFFFFFFFFFFFFFFFFFFFFFFFFFFFFFFFFFFFFFFFFFFFFFFFF6B00FFFFFFFFFFFFFFFFFFFFFFFFFFFF6C00FFFFFFFFFFFFFFFFFFFFFFFFFFFFFFFFFFFFFFFFFFFFFFFFFFFFFFFFFFFFFFFFFFFFFFFFFFFFFFFFFFFFFFFFFFFF6D00FFFFFFFFFFFFFFFFFFFFFFFFFFFF6E00FFFFFFFFFFFFFFFFFFFFFFFFFFFFFFFFFFFFFFFFFFFFFFFFFFFFFFFFFFFFFFFFFFFFFFFFFFFFFFFFFFFFFFFFFFFF6F00FFFFFFFFFFFFFFFFFFFFFFFFFFFF7000FFFFFFFFFFFFFFFFFFFFFFFFFFFFFFFFFFFFFFFFFFFFFFFFFFFFFFFFFFFFFFFFFFFFFFFFFFFFFFFFFFFFFFFFFFFF6200FFFFFFFFFFFFFFFFFFFFFFFFFFFFFFFFFFFFFFFFFFFFFFFFFFFFFFFFFFFFFFFFFFFFFFFFFFFFFFFFFFFFFFFFFFFFFFFFFFFFFFFFFFFFFFFFFFFFFFFFFFFF7100FFFFFFFFFFFFFFFFFFFFFFFFFFFF7200FFFFFFFFFFFFFFFFFFFFFFFFFFFFFFFFFFFFFFFFFFFFFFFFFFFFFFFFFFFFFFFFFFFFFFFFFFFFFFFFFFFFFFFFFFFF7300FFFFFFFFFFFFFFFFFFFFFFFFFFFF7400FFFFFFFFFFFFFFFFFFFFFFFFFFFF7500FFFFFFFFFFFFFFFFFFFFFFFFFFFFFFFFFFFFFFFFFFFFFFFFFFFFFFFFFFFF7600FFFFFFFFFFFFFFFFFFFFFFFFFFFFFFFFFFFFFFFFFFFFFFFFFFFFFFFFFFFF7700FFFFFFFFFFFFFFFFFFFFFFFFFFFFFFFFFFFFFFFFFFFFFFFFFFFFFFFFFFFF7800FFFFFFFFFFFFFFFFFFFFFFFFFFFFFFFFFFFFFFFFFFFFFFFFFFFFFFFFFFFFFFFFFFFFFFFFFFFFFFFFFFFFFFFFFFFFFFFFFFFFFFFFFFFFFFFFFFFFFFFFFFFF7900FFFFFFFFFFFF7A007B007C007D007E00FFFFFFFFFFFF7F008000810082008300FFFFFFFFFFFF84008500860087008800FFFFFFFFFFFF89008A008B008C008D00FFFFFFFFFFFF8E008F00900091009200FFFFFFFFFFFF93009400950096009700FFFFFFFFFFFF980099009A009B009C00FFFFFFFFFFFF9D009E009F00A000A100FFFFFFFFFFFFA200A300A400A500A600FFFFFFFFFFFFA700A800A900AA00AB00FFFFFFFFFFFFAC00AD00AE00AF00B000FFFFFFFFFFFFB100B200B300B400B500FFFFFFFFFFFFB600FFFFFFFFFFFFB700FFFFFFFFFFFFB800FFFFFFFFFFFFB900FFFFFFFFFFFFBA00FFFFFFFFFFFFBB00FFFFFFFFFFFFBC00FFFFFFFFFFFFBD00FFFFFFFFFFFFBE00BF00C000FFFFC100FFFFFFFFFFFFC200C300C400FFFFC500FFFFFFFFFFFFC600C700C800FFFFC900FFFFFFFFFFFFCA00CB00CC00FFFFCD00FFFFFFFFFFFFCE00CF00D000FFFFD100FFFFFFFFFFFFD200D300D400FFFFD500FFFFFFFFFFFFD600D700D800FFFFD900FFFFFFFFFFFFDA00DB00DC00FFFFDD00FFFFFFFFFFFFDE00DF00E000FFFFE100FFFFFFFFFFFFE200E300E400FFFFE500FFFFFFFFFFFFE600E700E800FFFFE900FFFFFFFFFFFFEA00EB00EC00FFFFED00FFFFFFFFFFFFEE00EF00F000FFFFF100FFFFFFFFFFFFF200F300F400FFFFF500FFFFFFFFFFFFF600F700F800FFFFF900FFFFFFFFFFFFFA00FB00FC00FFFFFD00FFFFFFFFFFFFFE00FF00000101010201FFFFFFFFFFFF03010401050106010701FFFFFFFFFFFF080109010A010B010C01FFFFFFFFFFFF0D010E010F0110011101FFFFFFFFFFFF12011301140115011601FFFFFFFFFFFF1701180119011A011B01FFFFFFFFFFFF1C011D011E011F012001FFFFFFFFFFFF21012201230124012501FFFFFFFFFFFF26012701280129012A01FFFFFFFFFFFF2B012C012D012E012F01FFFFFFFFFFFF30013101320133013401FFFFFFFFFFFF35013601370138013901FFFFFFFFFFFF3A013B01FFFFFFFF3C01FFFFFFFFFFFF3D013E01FFFFFFFF3F01FFFFFFFFFFFF40014101FFFFFFFF4201FFFFFFFFFFFF43014401FFFFFFFF4501FFFFFFFFFFFF46014701FFFFFFFF4801FFFFFFFFFFFF49014A01FFFFFFFF4B01FFFFFFFFFFFF4B014C01FFFFFFFF4D01FFFFFFFFFFFF4D014E01FFFFFFFF4F01FFFFFFFFFFFFFFFFFFFFFFFFFFFFFFFFFFFFFFFFFFFFFFFFFFFFFFFFFFFFFFFFFFFFFFFFFFFFFFFFFFFFFFFFFFFFFFFFFFFFFFFFFFFFFFFFFFFFFFFFFFFF4F01FFFFFFFFFFFFFFFFFFFFFFFFFFFFFFFFFFFFFFFFFFFFFFFFFFFFFFFFFFFFFFFFFFFFFFFFFFFFFFFFFFFFFFFFFFFFFFFFFFFFFFFFFFFFFFFFFFFFFFFFFFFF4F01FFFFFFFFFFFFFFFFFFFFFFFFFFFFFFFFFFFFFFFFFFFFFFFFFFFFFFFFFFFFFFFFFFFFFFFFFFFFFFFFFFFFFFFFFFFFFFFFFFFFFFFFFFFFFFFFFFFFFFFFFFFF5001FFFFFFFFFFFFFFFFFFFFFFFFFFFF5101FFFFFFFFFFFFFFFFFFFFFFFFFFFF5201FFFFFFFFFFFFFFFFFFFFFFFFFFFFFFFFFFFFFFFFFFFFFFFFFFFFFFFFFFFF5301FFFFFFFFFFFFFFFFFFFFFFFFFFFFFFFFFFFFFFFFFFFFFFFFFFFFFFFFFFFFFFFFFFFFFFFFFFFFFFFFFFFFFFFFFFFFFFFFFFFFFFFFFFFFFFFFFFFFFFFFFFFF5401FFFFFFFFFFFFFFFFFFFFFFFFFFFFFFFFFFFFFFFFFFFFFFFFFFFFFFFFFFFFFFFFFFFFFFFFFFFFFFFFFFFFFFFFFFFFFFFFFFFFFFFFFFFFFFFFFFFFFFFFFFFF5501FFFFFFFFFFFFFFFFFFFFFFFFFFFFFFFFFFFFFFFFFFFFFFFFFFFFFFFFFFFFFFFFFFFFFFFFFFFFFFFFFFFFFFFFFFFFFFFFFFFFFFFFFFFFFFFFFFFFFFFFFFFF5601FFFFFFFFFFFFFFFFFFFFFFFFFFFFFFFFFFFFFFFFFFFFFFFFFFFFFFFFFFFFFFFFFFFFFFFFFFFFFFFFFFFFFFFFFFFFFFFFFFFFFFFFFFFFFFFFFFFFFFFFFFFF5701FFFFFFFFFFFFFFFFFFFFFFFFFFFFFFFFFFFFFFFFFFFFFFFFFFFFFFFFFFFFFFFFFFFFFFFFFFFFFFFFFFFFFFFFFFFFFFFFFFFFFFFFFFFFFFFFFFFFFFFFFFFF5801FFFFFFFFFFFFFFFFFFFFFFFFFFFFFFFFFFFFFFFFFFFFFFFFFFFFFFFFFFFFFFFFFFFFFFFFFFFFFFFFFFFFFFFFFFFFFFFFFFFFFFFFFFFFFFFFFFFFFFFFFFFF5901FFFFFFFFFFFFFFFFFFFFFFFFFFFFFFFFFFFFFFFFFFFFFFFFFFFFFFFFFFFFFFFFFFFFFFFFFFFFFFFFFFFFFFFFFFFFFFFFFFFFFFFFFFFFFFFFFFFFFFFFFFFF5A01FFFFFFFFFFFFFFFFFFFFFFFFFFFFFFFFFFFFFFFFFFFFFFFFFFFFFFFFFFFFFFFFFFFFFFFFFFFFFFFFFFFFFFFFFFFFFFFFFFFFFFFFFFFFFFFFFFFFFFFFFFFF5B01FFFFFFFFFFFF5C01FFFFFFFFFFFF5D01FFFFFFFFFFFF5E01FFFFFFFFFFFFFFFFFFFFFFFFFFFFFFFFFFFFFFFFFFFF5F01FFFFFFFFFFFF6001FFFFFFFFFFFF</v>
      </c>
      <c r="D4" s="3"/>
      <c r="E4" s="3"/>
      <c r="F4" s="3"/>
      <c r="G4" s="3"/>
      <c r="H4" s="3"/>
      <c r="I4" s="3"/>
      <c r="J4" s="3"/>
      <c r="K4" s="3"/>
      <c r="L4" s="3"/>
      <c r="M4" s="4"/>
      <c r="P4" s="5" t="s">
        <v>1</v>
      </c>
      <c r="Q4" s="4"/>
      <c r="R4" s="2" t="str">
        <f>IFERROR(__xludf.DUMMYFUNCTION("JOIN("""", TOROW(MAP({D40:AI156}, LAMBDA(cell, IF(ISBLANK(cell), DEC2HEX(65535), CONCATENATE(RIGHT(DEC2HEX(cell, 4), 2), LEFT(DEC2HEX(cell, 4), 2))   ) ))))                "),"4A00FFFFFFFFFFFFFFFFFFFFFFFFFFFFFFFFFFFFFFFFFFFFFFFFFFFFFFFFFFFF4B00FFFFFFFFFFFFFFFFFFFFFFFFFFFFFFFFFFFFFFFFFFFFFFFFFFFFFFFFFFFF4C004D004E004F00FFFFFFFFFFFFFFFFFFFFFFFFFFFFFFFFFFFFFFFFFFFFFFFF5000510052005300FFFFFFFFFFFFFFFFFFFFFFFFFFFFFFFFFFFFFFFFFFFFFFF"&amp;"F5400FFFFFFFFFFFFFFFFFFFFFFFFFFFFFFFFFFFFFFFFFFFFFFFFFFFFFFFFFFFF5500FFFFFFFFFFFFFFFFFFFFFFFFFFFFFFFFFFFFFFFFFFFFFFFFFFFFFFFFFFFF5600570058005900FFFFFFFFFFFFFFFFFFFFFFFFFFFFFFFFFFFFFFFFFFFFFFFF5A005B005C005D00FFFFFFFFFFFFFFFFFFFFFFFFFFFFFFFFFFFFFFFFFFFFFF"&amp;"FF5E00FFFFFFFFFFFFFFFFFFFFFFFFFFFFFFFFFFFFFFFFFFFFFFFFFFFFFFFFFFFFFFFFFFFFFFFFFFFFFFFFFFFFFFFFFFFFFFFFFFFFFFFFFFFFFFFFFFFFFFFFFFFF5F00FFFFFFFFFFFFFFFFFFFFFFFFFFFFFFFFFFFFFFFFFFFFFFFFFFFFFFFFFFFFFFFFFFFFFFFFFFFFFFFFFFFFFFFFFFFFFFFFFFFFFFFFFFFFFFFFFFFFFFFFF"&amp;"FFF6000FFFFFFFFFFFFFFFFFFFFFFFFFFFFFFFFFFFFFFFFFFFFFFFFFFFFFFFFFFFF6100FFFFFFFFFFFFFFFFFFFFFFFFFFFFFFFFFFFFFFFFFFFFFFFFFFFFFFFFFFFF6200FFFFFFFFFFFFFFFFFFFFFFFFFFFFFFFFFFFFFFFFFFFFFFFFFFFFFFFFFFFFFFFFFFFFFFFFFFFFFFFFFFFFFFFFFFFFFFFFFFFFFFFFFFFFFFFFFFFFFFFF"&amp;"FFFF6300FFFFFFFFFFFFFFFFFFFFFFFFFFFFFFFFFFFFFFFFFFFFFFFFFFFFFFFFFFFF6400FFFFFFFFFFFFFFFFFFFFFFFFFFFFFFFFFFFFFFFFFFFFFFFFFFFFFFFFFFFF6500FFFFFFFFFFFFFFFFFFFFFFFFFFFFFFFFFFFFFFFFFFFFFFFFFFFFFFFFFFFFFFFFFFFFFFFFFFFFFFFFFFFFFFFFFFFFFFFFFFFFFFFFFFFFFFFFFFFFFFF"&amp;"FFFFF6600FFFFFFFFFFFFFFFFFFFFFFFFFFFFFFFFFFFFFFFFFFFFFFFFFFFFFFFFFFFFFFFFFFFFFFFFFFFFFFFFFFFFFFFFFFFFFFFFFFFFFFFFFFFFFFFFFFFFFFFFFFFF6700FFFFFFFFFFFFFFFFFFFFFFFFFFFF6800FFFFFFFFFFFFFFFFFFFFFFFFFFFFFFFFFFFFFFFFFFFFFFFFFFFFFFFFFFFFFFFFFFFFFFFFFFFFFFFFFFFFFF"&amp;"FFFFFF6900FFFFFFFFFFFFFFFFFFFFFFFFFFFF6A00FFFFFFFFFFFFFFFFFFFFFFFFFFFFFFFFFFFFFFFFFFFFFFFFFFFFFFFFFFFFFFFFFFFFFFFFFFFFFFFFFFFFFFFFFFFF6B00FFFFFFFFFFFFFFFFFFFFFFFFFFFF6C00FFFFFFFFFFFFFFFFFFFFFFFFFFFFFFFFFFFFFFFFFFFFFFFFFFFFFFFFFFFFFFFFFFFFFFFFFFFFFFFFFFFFF"&amp;"FFFFFFF6D00FFFFFFFFFFFFFFFFFFFFFFFFFFFF6E00FFFFFFFFFFFFFFFFFFFFFFFFFFFFFFFFFFFFFFFFFFFFFFFFFFFFFFFFFFFFFFFFFFFFFFFFFFFFFFFFFFFFFFFFFFFF6F00FFFFFFFFFFFFFFFFFFFFFFFFFFFF7000FFFFFFFFFFFFFFFFFFFFFFFFFFFFFFFFFFFFFFFFFFFFFFFFFFFFFFFFFFFFFFFFFFFFFFFFFFFFFFFFFFFF"&amp;"FFFFFFFF6200FFFFFFFFFFFFFFFFFFFFFFFFFFFFFFFFFFFFFFFFFFFFFFFFFFFFFFFFFFFFFFFFFFFFFFFFFFFFFFFFFFFFFFFFFFFFFFFFFFFFFFFFFFFFFFFFFFFFFFFFFFFF7100FFFFFFFFFFFFFFFFFFFFFFFFFFFF7200FFFFFFFFFFFFFFFFFFFFFFFFFFFFFFFFFFFFFFFFFFFFFFFFFFFFFFFFFFFFFFFFFFFFFFFFFFFFFFFFFFF"&amp;"FFFFFFFFF7300FFFFFFFFFFFFFFFFFFFFFFFFFFFF7400FFFFFFFFFFFFFFFFFFFFFFFFFFFF7500FFFFFFFFFFFFFFFFFFFFFFFFFFFFFFFFFFFFFFFFFFFFFFFFFFFFFFFFFFFF7600FFFFFFFFFFFFFFFFFFFFFFFFFFFFFFFFFFFFFFFFFFFFFFFFFFFFFFFFFFFF7700FFFFFFFFFFFFFFFFFFFFFFFFFFFFFFFFFFFFFFFFFFFFFFFFFF"&amp;"FFFFFFFFFF7800FFFFFFFFFFFFFFFFFFFFFFFFFFFFFFFFFFFFFFFFFFFFFFFFFFFFFFFFFFFFFFFFFFFFFFFFFFFFFFFFFFFFFFFFFFFFFFFFFFFFFFFFFFFFFFFFFFFFFFFFFFFF7900FFFFFFFFFFFF7A007B007C007D007E00FFFFFFFFFFFF7F008000810082008300FFFFFFFFFFFF84008500860087008800FFFFFFFFFFFF89008"&amp;"A008B008C008D00FFFFFFFFFFFF8E008F00900091009200FFFFFFFFFFFF93009400950096009700FFFFFFFFFFFF980099009A009B009C00FFFFFFFFFFFF9D009E009F00A000A100FFFFFFFFFFFFA200A300A400A500A600FFFFFFFFFFFFA700A800A900AA00AB00FFFFFFFFFFFFAC00AD00AE00AF00B000FFFFFFFFFFFFB100"&amp;"B200B300B400B500FFFFFFFFFFFFB600FFFFFFFFFFFFB700FFFFFFFFFFFFB800FFFFFFFFFFFFB900FFFFFFFFFFFFBA00FFFFFFFFFFFFBB00FFFFFFFFFFFFBC00FFFFFFFFFFFFBD00FFFFFFFFFFFFBE00BF00C000FFFFC100FFFFFFFFFFFFC200C300C400FFFFC500FFFFFFFFFFFFC600C700C800FFFFC900FFFFFFFFFFFFCA0"&amp;"0CB00CC00FFFFCD00FFFFFFFFFFFFCE00CF00D000FFFFD100FFFFFFFFFFFFD200D300D400FFFFD500FFFFFFFFFFFFD600D700D800FFFFD900FFFFFFFFFFFFDA00DB00DC00FFFFDD00FFFFFFFFFFFFDE00DF00E000FFFFE100FFFFFFFFFFFFE200E300E400FFFFE500FFFFFFFFFFFFE600E700E800FFFFE900FFFFFFFFFFFFEA"&amp;"00EB00EC00FFFFED00FFFFFFFFFFFFEE00EF00F000FFFFF100FFFFFFFFFFFFF200F300F400FFFFF500FFFFFFFFFFFFF600F700F800FFFFF900FFFFFFFFFFFFFA00FB00FC00FFFFFD00FFFFFFFFFFFFFE00FF00000101010201FFFFFFFFFFFF03010401050106010701FFFFFFFFFFFF080109010A010B010C01FFFFFFFFFFFF0"&amp;"D010E010F0110011101FFFFFFFFFFFF12011301140115011601FFFFFFFFFFFF1701180119011A011B01FFFFFFFFFFFF1C011D011E011F012001FFFFFFFFFFFF21012201230124012501FFFFFFFFFFFF26012701280129012A01FFFFFFFFFFFF2B012C012D012E012F01FFFFFFFFFFFF30013101320133013401FFFFFFFFFFFF"&amp;"35013601370138013901FFFFFFFFFFFF3A013B01FFFFFFFF3C01FFFFFFFFFFFF3D013E01FFFFFFFF3F01FFFFFFFFFFFF40014101FFFFFFFF4201FFFFFFFFFFFF43014401FFFFFFFF4501FFFFFFFFFFFF46014701FFFFFFFF4801FFFFFFFFFFFF49014A01FFFFFFFF4B01FFFFFFFFFFFF4B014C01FFFFFFFF4D01FFFFFFFFFFF"&amp;"F4D014E01FFFFFFFF4F01FFFFFFFFFFFFFFFFFFFFFFFFFFFFFFFFFFFFFFFFFFFFFFFFFFFFFFFFFFFFFFFFFFFFFFFFFFFFFFFFFFFFFFFFFFFFFFFFFFFFFFFFFFFFFFFFFFFFFFFFFFFF4F01FFFFFFFFFFFFFFFFFFFFFFFFFFFFFFFFFFFFFFFFFFFFFFFFFFFFFFFFFFFFFFFFFFFFFFFFFFFFFFFFFFFFFFFFFFFFFFFFFFFFFFFFFF"&amp;"FFFFFFFFFFFFFFFFFF4F01FFFFFFFFFFFFFFFFFFFFFFFFFFFFFFFFFFFFFFFFFFFFFFFFFFFFFFFFFFFFFFFFFFFFFFFFFFFFFFFFFFFFFFFFFFFFFFFFFFFFFFFFFFFFFFFFFFFFFFFFFFFF5001FFFFFFFFFFFFFFFFFFFFFFFFFFFF5101FFFFFFFFFFFFFFFFFFFFFFFFFFFF5201FFFFFFFFFFFFFFFFFFFFFFFFFFFFFFFFFFFFFFFFF"&amp;"FFFFFFFFFFFFFFFFFFF5301FFFFFFFFFFFFFFFFFFFFFFFFFFFFFFFFFFFFFFFFFFFFFFFFFFFFFFFFFFFFFFFFFFFFFFFFFFFFFFFFFFFFFFFFFFFFFFFFFFFFFFFFFFFFFFFFFFFFFFFFFFFF5401FFFFFFFFFFFFFFFFFFFFFFFFFFFFFFFFFFFFFFFFFFFFFFFFFFFFFFFFFFFFFFFFFFFFFFFFFFFFFFFFFFFFFFFFFFFFFFFFFFFFFFFF"&amp;"FFFFFFFFFFFFFFFFFFFF5501FFFFFFFFFFFFFFFFFFFFFFFFFFFFFFFFFFFFFFFFFFFFFFFFFFFFFFFFFFFFFFFFFFFFFFFFFFFFFFFFFFFFFFFFFFFFFFFFFFFFFFFFFFFFFFFFFFFFFFFFFFFF5601FFFFFFFFFFFFFFFFFFFFFFFFFFFFFFFFFFFFFFFFFFFFFFFFFFFFFFFFFFFFFFFFFFFFFFFFFFFFFFFFFFFFFFFFFFFFFFFFFFFFFFF"&amp;"FFFFFFFFFFFFFFFFFFFFF5701FFFFFFFFFFFFFFFFFFFFFFFFFFFFFFFFFFFFFFFFFFFFFFFFFFFFFFFFFFFFFFFFFFFFFFFFFFFFFFFFFFFFFFFFFFFFFFFFFFFFFFFFFFFFFFFFFFFFFFFFFFFF5801FFFFFFFFFFFFFFFFFFFFFFFFFFFFFFFFFFFFFFFFFFFFFFFFFFFFFFFFFFFFFFFFFFFFFFFFFFFFFFFFFFFFFFFFFFFFFFFFFFFFFF"&amp;"FFFFFFFFFFFFFFFFFFFFFF5901FFFFFFFFFFFFFFFFFFFFFFFFFFFFFFFFFFFFFFFFFFFFFFFFFFFFFFFFFFFFFFFFFFFFFFFFFFFFFFFFFFFFFFFFFFFFFFFFFFFFFFFFFFFFFFFFFFFFFFFFFFFF5A01FFFFFFFFFFFFFFFFFFFFFFFFFFFFFFFFFFFFFFFFFFFFFFFFFFFFFFFFFFFFFFFFFFFFFFFFFFFFFFFFFFFFFFFFFFFFFFFFFFFFF"&amp;"FFFFFFFFFFFFFFFFFFFFFFF5B01FFFFFFFFFFFF5C01FFFFFFFFFFFF5D01FFFFFFFFFFFF5E01FFFFFFFFFFFFFFFFFFFFFFFFFFFFFFFFFFFFFFFFFFFF5F01FFFFFFFFFFFF6001FFFFFFFFFFFF4502450245024502FFFFFFFFFFFFFFFF4602460246024602FFFFFFFFFFFFFFFF4702470247024702FFFFFFFFFFFFFFFF48024802"&amp;"48024802FFFFFFFFFFFFFFFF59025A025B025C02FFFFFFFFFFFFFFFFFFFFFFFFFFFFFFFFFFFFFFFFFFFFFFFF5D025D025D025D02FFFFFFFFFFFFFFFFFFFFFFFFFFFFFFFFFFFFFFFFFFFFFFFF5E025F0260026102FFFFFFFFFFFFFFFFFFFFFFFFFFFFFFFFFFFFFFFFFFFFFFFF6202620262026202FFFFFFFFFFFFFFFFFFFFFFF"&amp;"FFFFFFFFFFFFFFFFFFFFFFFFF6302640265026602FFFFFFFFFFFFFFFF6702670267026702FFFFFFFFFFFFFFFF6802680268026802FFFFFFFFFFFFFFFFFFFFFFFFFFFFFFFFFFFFFFFFFFFFFFFF69026A026B026C02FFFFFFFFFFFFFFFF6D026D026D026D02FFFFFFFFFFFFFFFF6E026E026E026E02FFFFFFFFFFFFFFFFFFFFFF"&amp;"FFFFFFFFFFFFFFFFFFFFFFFFFF6F02700271027202FFFFFFFFFFFFFFFF7302730273027302FFFFFFFFFFFFFFFF7402740274027402FFFFFFFFFFFFFFFF7502750275027502FFFFFFFFFFFFFFFF7602770278027902FFFFFFFFFFFFFFFF7A027A027A027A02FFFFFFFFFFFFFFFF7B027B027B027B02FFFFFFFFFFFFFFFFFFFFF"&amp;"FFFFFFFFFFFFFFFFFFFFFFFFFFF7C027D027E027F02FFFFFFFFFFFFFFFF8002800280028002FFFFFFFFFFFFFFFF8102810281028102FFFFFFFFFFFFFFFF8202820282028202FFFFFFFFFFFFFFFF8302840285028602FFFFFFFFFFFFFFFF8702870287028702FFFFFFFFFFFFFFFF8802880288028802FFFFFFFFFFFFFFFF8902"&amp;"890289028902FFFFFFFFFFFFFFFF8A02FFFFFFFFFFFFFFFFFFFFFFFFFFFFFFFFFFFFFFFFFFFFFFFFFFFFFFFFFFFFFFFFFFFFFFFFFFFFFFFFFFFFFFFFFFFFFFFFFFFFFFFFFFFFFFFFFFFFFFFFFFFF8B02FFFFFFFFFFFFFFFFFFFFFFFFFFFFFFFFFFFFFFFFFFFFFFFFFFFFFFFFFFFFFFFFFFFFFFFFFFFFFFFFFFFFFFFFFFFFFFF"&amp;"FFFFFFFFFFFFFFFFFFFFFFFFFFFFF8C028D028E028F02FFFFFFFFFFFFFFFF9002900290029002FFFFFFFFFFFFFFFF9102910291029102FFFFFFFFFFFFFFFF9202920292029202FFFFFFFFFFFFFFFF9302940295029602FFFFFFFFFFFFFFFFFFFFFFFFFFFFFFFFFFFFFFFFFFFFFFFFFFFFFFFFFFFFFFFFFFFFFFFFFFFFFFFFFF"&amp;"FFFFFFFFFFFFFFFFFFFFFFFFFFFFFF9702980299029A02FFFFFFFFFFFFFFFFFFFFFFFFFFFFFFFFFFFFFFFFFFFFFFFFFFFFFFFFFFFFFFFFFFFFFFFFFFFFFFFFFFFFFFFFFFFFFFFFFFFFFFFFFFFFFFFF9B029C029D029E02FFFFFFFFFFFFFFFFFFFFFFFFFFFFFFFFFFFFFFFFFFFFFFFF9F029F029F029F02FFFFFFFFFFFFFFFFF"&amp;"FFFFFFFFFFFFFFFFFFFFFFFFFFFFFFFA002A102A202A302FFFFFFFFFFFFFFFFFFFFFFFFFFFFFFFFFFFFFFFFFFFFFFFFA402A402A402A402FFFFFFFFFFFFFFFFFFFFFFFFFFFFFFFFFFFFFFFFFFFFFFFFA502A602A702A802FFFFFFFFFFFFFFFFFFFFFFFFFFFFFFFFFFFFFFFFFFFFFFFFA902A902A902A902FFFFFFFFFFFFFFFF"&amp;"FFFFFFFFFFFFFFFFFFFFFFFFFFFFFFFFAA02AA02AA02AA02FFFFFFFFFFFFFFFFFFFFFFFFFFFFFFFFFFFFFFFFFFFFFFFFAB02AB02AB02AB02FFFFFFFFFFFFFFFFFFFFFFFFFFFFFFFFFFFFFFFFFFFFFFFFAC02AC02AC02AC02FFFFFFFFFFFFFFFFAD02AD02AD02AD02FFFFFFFFFFFFFFFFAE02AE02AE02AE02FFFFFFFFFFFFFFF"&amp;"FFFFFFFFFFFFFFFFFFFFFFFFFFFFFFFFFAF02AF02AF02AF02FFFFFFFFFFFFFFFFAD02AD02AD02AD02FFFFFFFFFFFFFFFFAE02AE02AE02AE02FFFFFFFFFFFFFFFFFFFFFFFFFFFFFFFFFFFFFFFFFFFFFFFFB002B002B002B002FFFFFFFFFFFFFFFFAD02AD02AD02AD02FFFFFFFFFFFFFFFFAE02AE02AE02AE02FFFFFFFFFFFFFF"&amp;"FFFFFFFFFFFFFFFFFFFFFFFFFFFFFFFFFF5302540255025602FFFFFFFFFFFFFFFF5702570257025702FFFFFFFFFFFFFFFF5802580258025802FFFFFFFFFFFFFFFFFFFFFFFFFFFFFFFFFFFFFFFFFFFFFFFFB602B702B802B902FFFFFFFFFFFFFFFFBA02BA02BA02BA02FFFFFFFFFFFFFFFFBB02BB02BB02BB02FFFFFFFFFFFFF"&amp;"FFFFFFFFFFFFFFFFFFFFFFFFFFFFFFFFFFFBC02BD02BE02BF02FFFFFFFFFFFFFFFFC002C002C002C002FFFFFFFFFFFFFFFFC102C102C102C102FFFFFFFFFFFFFFFFFFFFFFFFFFFFFFFFFFFFFFFFFFFFFFFFC202FFFFFFFFFFFFFFFFFFFFFFFFFFFFFFFFFFFFFFFFFFFFFFFFFFFFFFFFFFFFFFFFFFFFFFFFFFFFFFFFFFFFFFFF"&amp;"FFFFFFFFFFFFFFFFFFFFFFFFFFFFFFFFFFFFC302FFFFFFFFFFFFFFFFFFFFFFFFFFFFFFFFFFFFFFFFFFFFFFFFFFFFFFFFFFFFC802FFFFFFFFFFFFFFFFFFFFFFFFFFFFFFFFFFFFFFFFFFFFFFFFFFFFFFFFFFFFC902FFFFFFFFFFFFFFFFFFFFFFFFFFFFFFFFFFFFFFFFFFFFFFFFFFFFFFFFFFFFFFFFFFFFFFFFFFFFFFFFFFFFFFF"&amp;"FFFFFFFFFFFFFFFFFFFFFFFFFFFFFFFFFFFFFCA02FFFFFFFFFFFFFFFFFFFFFFFFFFFFFFFFFFFFFFFFFFFFFFFFFFFFFFFFFFFFFFFFFFFFFFFFFFFFFFFFFFFFFFFFFFFFFFFFFFFFFFFFFFFFFFFFFFFFFFFFFFFFCB02FFFFFFFFFFFFFFFFFFFFFFFFFFFFCC02FFFFFFFFFFFFFFFFFFFFFFFFFFFFFFFFFFFFFFFFFFFFFFFFFFFFFF"&amp;"FFFFFFFFFFFFFFFFFFFFFFFFFFFFFFFFFFFFFFCD02FFFFFFFFFFFFFFFFFFFFFFFFFFFFCC02FFFFFFFFFFFFFFFFFFFFFFFFFFFFFFFFFFFFFFFFFFFFFFFFFFFFFFFFFFFFFFFFFFFFFFFFFFFFFFFFFFFFFFFFFFFFCE02FFFFFFFFFFFFFFFFFFFFFFFFFFFFCF02FFFFFFFFFFFFFFFFFFFFFFFFFFFFFFFFFFFFFFFFFFFFFFFFFFFFF"&amp;"FFFFFFFFFFFFFFFFFFFFFFFFFFFFFFFFFFFFFFFD002D102D202D302FFFFFFFFFFFFFFFFD402D402D402D402FFFFFFFFFFFFFFFFFFFFFFFFFFFFFFFFFFFFFFFFFFFFFFFFFFFFFFFFFFFFFFFFFFFFFFFFFFFFFFFFD502FFFFFFFFFFFFFFFFFFFFFFFFFFFFD602FFFFFFFFFFFFFFFFFFFFFFFFFFFFD702FFFFFFFFFFFFFFFFFFFF"&amp;"FFFFFFFFFFFFFFFFFFFFFFFFFFFFFFFFFFFFFFFFD802FFFFFFFFFFFFFFFFFFFFFFFFFFFFD902FFFFFFFFFFFFFFFFFFFFFFFFFFFFFFFFFFFFFFFFFFFFFFFFFFFFFFFFFFFFFFFFFFFFFFFFFFFFFFFFFFFFFFFFFFFFDA02FFFFFFFFFFFFFFFFFFFFFFFFFFFFDB02FFFFFFFFFFFFFFFFFFFFFFFFFFFFDC02FFFFFFFFFFFFFFFFFFF"&amp;"FFFFFFFFFFFFFFFFFFFFFFFFFFFFFFFFFFFFFFFFFDD02FFFFFFFFFFFFFFFFFFFFFFFFFFFFFFFFFFFFFFFFFFFFFFFFFFFFFFFFFFFFFFFFFFFFFFFFFFFFFFFFFFFFFFFFFFFFFFFFFFFFFFFFFFFFFFFFFFFFFFFFFFFFDE02DF02E002E102FFFFFFFFFFFFFFFFE202E202E202E202FFFFFFFFFFFFFFFFE302E302E302E302FFFFFF"&amp;"FFFFFFFFFFE402E402E402E402FFFFFFFFFFFFFFFFE502E602E702E802FFFFFFFFFFFFFFFFE202E202E202E202FFFFFFFFFFFFFFFFE302E302E302E302FFFFFFFFFFFFFFFFE402E402E402E402FFFFFFFFFFFFFFFFE902EA02EB02EC02FFFFFFFFFFFFFFFFE202E202E202E202FFFFFFFFFFFFFFFFE302E302E302E302FFFFF"&amp;"FFFFFFFFFFFE402E402E402E402FFFFFFFFFFFFFFFFED02EE02EF02F002FFFFFFFFFFFFFFFFF102F102F102F102FFFFFFFFFFFFFFFFF202F202F202F202FFFFFFFFFFFFFFFFF302F302F302F302FFFFFFFFFFFFFFFFF402FFFFFFFFFFFFFFFFFFFFFFFFFFFFF502FFFFFFFFFFFFFFFFFFFFFFFFFFFFFFFFFFFFFFFFFFFFFFFF"&amp;"FFFFFFFFFFFFFFFFFFFFFFFFFFFFFFFFFFFFFFFFFFFFF602FFFFFFFFFFFFFFFFFFFFFFFFFFFFF702FFFFFFFFFFFFFFFFFFFFFFFFFFFFF802FFFFFFFFFFFFFFFFFFFFFFFFFFFFFFFFFFFFFFFFFFFFFFFFFFFFFFFFFFFFF902FFFFFFFFFFFFFFFFFFFFFFFFFFFFFFFFFFFFFFFFFFFFFFFFFFFFFFFFFFFFFFFFFFFFFFFFFFFFFFF"&amp;"FFFFFFFFFFFFFFFFFFFFFFFFFFFFFFFFFFFFFFFFFFFFFFA02FFFFFFFFFFFFFFFFFFFFFFFFFFFFFFFFFFFFFFFFFFFFFFFFFFFFFFFFFFFFFFFFFFFFFFFFFFFFFFFFFFFFFFFFFFFFFFFFFFFFFFFFFFFFFFFFFFFFFFFFFFFFFB02FFFFFFFFFFFFFFFFFFFFFFFFFFFFFC02FFFFFFFFFFFFFFFFFFFFFFFFFFFFFD02FFFFFFFFFFFFFF"&amp;"FFFFFFFFFFFFFFFE02FFFFFFFFFFFFFFFFFFFFFFFFFFFFFF02FFFFFFFFFFFFFFFFFFFFFFFFFFFF0003FFFFFFFFFFFFFFFFFFFFFFFFFFFF0103FFFFFFFFFFFFFFFFFFFFFFFFFFFF0203FFFFFFFFFFFFFFFFFFFFFFFFFFFF0303FFFFFFFFFFFFFFFFFFFFFFFFFFFF0403FFFFFFFFFFFFFFFFFFFFFFFFFFFF0503FFFFFFFFFFFFF"&amp;"FFFFFFFFFFFFFFF0603FFFFFFFFFFFFFFFFFFFFFFFFFFFF0303FFFFFFFFFFFFFFFFFFFFFFFFFFFF0403FFFFFFFFFFFFFFFFFFFFFFFFFFFF0503FFFFFFFFFFFFFFFFFFFFFFFFFFFF0603FFFFFFFFFFFFFFFFFFFFFFFFFFFF0703080309030A03FFFFFFFFFFFFFFFF0B030B030B030B03FFFFFFFFFFFFFFFF0C030C030C030C03"&amp;"FFFFFFFFFFFFFFFFFFFFFFFFFFFFFFFFFFFFFFFFFFFFFFFF0D030E030F031003FFFFFFFFFFFFFFFF0B030B030B030B03FFFFFFFFFFFFFFFF0C030C030C030C03FFFFFFFFFFFFFFFFFFFFFFFFFFFFFFFFFFFFFFFFFFFFFFFF1103120313031403FFFFFFFFFFFFFFFF7A027A027A027A02FFFFFFFFFFFFFFFF7B027B027B027B0"&amp;"2FFFFFFFFFFFFFFFF1503150315031503FFFFFFFFFFFFFFFF1603170318031903FFFFFFFFFFFFFFFFFFFFFFFFFFFFFFFFFFFFFFFFFFFFFFFFFFFFFFFFFFFFFFFFFFFFFFFFFFFFFFFFFFFFFFFFFFFFFFFFFFFFFFFFFFFFFFFF1A031B031C031D03FFFFFFFFFFFFFFFF1E031E031E031E03FFFFFFFFFFFFFFFF1F031F031F031F"&amp;"03FFFFFFFFFFFFFFFFFFFFFFFFFFFFFFFFFFFFFFFFFFFFFFFF2003210322032303FFFFFFFFFFFFFFFF2403240324032403FFFFFFFFFFFFFFFF2503250325032503FFFFFFFFFFFFFFFF2603260326032603FFFFFFFFFFFFFFFF2703280329032A03FFFFFFFFFFFFFFFF2403240324032403FFFFFFFFFFFFFFFF2503250325032"&amp;"503FFFFFFFFFFFFFFFF2603260326032603FFFFFFFFFFFFFFFF2B03FFFFFFFFFFFFFFFFFFFFFFFFFFFF2C03FFFFFFFFFFFFFFFFFFFFFFFFFFFFFFFFFFFFFFFFFFFFFFFFFFFFFFFFFFFFFFFFFFFFFFFFFFFFFFFFFFFFFFFFFFFF3003FFFFFFFFFFFFFFFFFFFFFFFFFFFF3103FFFFFFFFFFFFFFFFFFFFFFFFFFFF3203FFFFFFFF"&amp;"FFFFFFFFFFFFFFFFFFFF3303FFFFFFFFFFFFFFFFFFFFFFFFFFFF3403FFFFFFFFFFFFFFFFFFFFFFFFFFFF3503FFFFFFFFFFFFFFFFFFFFFFFFFFFF3603FFFFFFFFFFFFFFFFFFFFFFFFFFFF3703FFFFFFFFFFFFFFFFFFFFFFFFFFFF380339033A033B03FFFFFFFFFFFFFFFF3C033C033C033C03FFFFFFFFFFFFFFFFFFFFFFFFFFF"&amp;"FFFFFFFFFFFFFFFFFFFFFFFFFFFFFFFFFFFFFFFFFFFFFFFFFFFFF3D03FFFFFFFFFFFFFFFFFFFFFFFFFFFF3E03FFFFFFFFFFFFFFFFFFFFFFFFFFFFFFFFFFFFFFFFFFFFFFFFFFFFFFFFFFFFFFFFFFFFFFFFFFFFFFFFFFFFFFFFFFFF3F03400341034203FFFFFFFFFFFFFFFF4303430343034303FFFFFFFFFFFFFFFF4403440344"&amp;"034403FFFFFFFFFFFFFFFFFFFFFFFFFFFFFFFFFFFFFFFFFFFFFFFF4503460347034803FFFFFFFFFFFFFFFF4303430343034303FFFFFFFFFFFFFFFFFFFFFFFFFFFFFFFFFFFFFFFFFFFFFFFFFFFFFFFFFFFFFFFFFFFFFFFFFFFFFFFF4903FFFFFFFFFFFFFFFFFFFFFFFFFFFF4A03FFFFFFFFFFFFFFFFFFFFFFFFFFFFFFFFFFFFF"&amp;"FFFFFFFFFFFFFFFFFFFFFFFFFFFFFFFFFFFFFFFFFFFFFFFFFFFFFFF4C03FFFFFFFFFFFFFFFFFFFFFFFFFFFFFFFFFFFFFFFFFFFFFFFFFFFFFFFFFFFFFFFFFFFFFFFFFFFFFFFFFFFFFFFFFFFFFFFFFFFFFFFFFFFFFFFFFFFFFFFFFFFF4D03FFFFFFFFFFFFFFFFFFFFFFFFFFFFFFFFFFFFFFFFFFFFFFFFFFFFFFFFFFFFFFFFFFFF"&amp;"FFFFFFFFFFFFFFFFFFFFFFFFFFFFFFFFFFFFFFFFFFFFFFFFFFFFFFFF4E034F0350035103FFFFFFFFFFFFFFFF5203520352035203FFFFFFFFFFFFFFFF5303530353035303FFFFFFFFFFFFFFFF5403540354035403FFFFFFFFFFFFFFFF5503560357035803FFFFFFFFFFFFFFFF5903590359035903FFFFFFFFFFFFFFFF5A035A0"&amp;"35A035A03FFFFFFFFFFFFFFFF5B035B035B035B03FFFFFFFFFFFFFFFF5C03FFFFFFFFFFFFFFFFFFFFFFFFFFFFFFFFFFFFFFFFFFFFFFFFFFFFFFFFFFFFFFFFFFFFFFFFFFFFFFFFFFFFFFFFFFFFFFFFFFFFFFFFFFFFFFFFFFFFFFFFFFFF5D03FFFFFFFFFFFFFFFFFFFFFFFFFFFF5E03FFFFFFFFFFFFFFFFFFFFFFFFFFFFFFFFFF"&amp;"FFFFFFFFFFFFFFFFFFFFFFFFFFFFFFFFFFFFFFFFFFFFFFFFFFFFFFFFFF6203FFFFFFFFFFFFFFFFFFFFFFFFFFFF6303FFFFFFFFFFFFFFFFFFFFFFFFFFFFFFFFFFFFFFFFFFFFFFFFFFFFFFFFFFFFFFFFFFFFFFFFFFFFFFFFFFFFFFFFFFFF")</f>
        <v>4A00FFFFFFFFFFFFFFFFFFFFFFFFFFFFFFFFFFFFFFFFFFFFFFFFFFFFFFFFFFFF4B00FFFFFFFFFFFFFFFFFFFFFFFFFFFFFFFFFFFFFFFFFFFFFFFFFFFFFFFFFFFF4C004D004E004F00FFFFFFFFFFFFFFFFFFFFFFFFFFFFFFFFFFFFFFFFFFFFFFFF5000510052005300FFFFFFFFFFFFFFFFFFFFFFFFFFFFFFFFFFFFFFFFFFFFFFFF5400FFFFFFFFFFFFFFFFFFFFFFFFFFFFFFFFFFFFFFFFFFFFFFFFFFFFFFFFFFFF5500FFFFFFFFFFFFFFFFFFFFFFFFFFFFFFFFFFFFFFFFFFFFFFFFFFFFFFFFFFFF5600570058005900FFFFFFFFFFFFFFFFFFFFFFFFFFFFFFFFFFFFFFFFFFFFFFFF5A005B005C005D00FFFFFFFFFFFFFFFFFFFFFFFFFFFFFFFFFFFFFFFFFFFFFFFF5E00FFFFFFFFFFFFFFFFFFFFFFFFFFFFFFFFFFFFFFFFFFFFFFFFFFFFFFFFFFFFFFFFFFFFFFFFFFFFFFFFFFFFFFFFFFFFFFFFFFFFFFFFFFFFFFFFFFFFFFFFFFFF5F00FFFFFFFFFFFFFFFFFFFFFFFFFFFFFFFFFFFFFFFFFFFFFFFFFFFFFFFFFFFFFFFFFFFFFFFFFFFFFFFFFFFFFFFFFFFFFFFFFFFFFFFFFFFFFFFFFFFFFFFFFFFF6000FFFFFFFFFFFFFFFFFFFFFFFFFFFFFFFFFFFFFFFFFFFFFFFFFFFFFFFFFFFF6100FFFFFFFFFFFFFFFFFFFFFFFFFFFFFFFFFFFFFFFFFFFFFFFFFFFFFFFFFFFF6200FFFFFFFFFFFFFFFFFFFFFFFFFFFFFFFFFFFFFFFFFFFFFFFFFFFFFFFFFFFFFFFFFFFFFFFFFFFFFFFFFFFFFFFFFFFFFFFFFFFFFFFFFFFFFFFFFFFFFFFFFFFF6300FFFFFFFFFFFFFFFFFFFFFFFFFFFFFFFFFFFFFFFFFFFFFFFFFFFFFFFFFFFF6400FFFFFFFFFFFFFFFFFFFFFFFFFFFFFFFFFFFFFFFFFFFFFFFFFFFFFFFFFFFF6500FFFFFFFFFFFFFFFFFFFFFFFFFFFFFFFFFFFFFFFFFFFFFFFFFFFFFFFFFFFFFFFFFFFFFFFFFFFFFFFFFFFFFFFFFFFFFFFFFFFFFFFFFFFFFFFFFFFFFFFFFFFF6600FFFFFFFFFFFFFFFFFFFFFFFFFFFFFFFFFFFFFFFFFFFFFFFFFFFFFFFFFFFFFFFFFFFFFFFFFFFFFFFFFFFFFFFFFFFFFFFFFFFFFFFFFFFFFFFFFFFFFFFFFFFF6700FFFFFFFFFFFFFFFFFFFFFFFFFFFF6800FFFFFFFFFFFFFFFFFFFFFFFFFFFFFFFFFFFFFFFFFFFFFFFFFFFFFFFFFFFFFFFFFFFFFFFFFFFFFFFFFFFFFFFFFFFF6900FFFFFFFFFFFFFFFFFFFFFFFFFFFF6A00FFFFFFFFFFFFFFFFFFFFFFFFFFFFFFFFFFFFFFFFFFFFFFFFFFFFFFFFFFFFFFFFFFFFFFFFFFFFFFFFFFFFFFFFFFFF6B00FFFFFFFFFFFFFFFFFFFFFFFFFFFF6C00FFFFFFFFFFFFFFFFFFFFFFFFFFFFFFFFFFFFFFFFFFFFFFFFFFFFFFFFFFFFFFFFFFFFFFFFFFFFFFFFFFFFFFFFFFFF6D00FFFFFFFFFFFFFFFFFFFFFFFFFFFF6E00FFFFFFFFFFFFFFFFFFFFFFFFFFFFFFFFFFFFFFFFFFFFFFFFFFFFFFFFFFFFFFFFFFFFFFFFFFFFFFFFFFFFFFFFFFFF6F00FFFFFFFFFFFFFFFFFFFFFFFFFFFF7000FFFFFFFFFFFFFFFFFFFFFFFFFFFFFFFFFFFFFFFFFFFFFFFFFFFFFFFFFFFFFFFFFFFFFFFFFFFFFFFFFFFFFFFFFFFF6200FFFFFFFFFFFFFFFFFFFFFFFFFFFFFFFFFFFFFFFFFFFFFFFFFFFFFFFFFFFFFFFFFFFFFFFFFFFFFFFFFFFFFFFFFFFFFFFFFFFFFFFFFFFFFFFFFFFFFFFFFFFF7100FFFFFFFFFFFFFFFFFFFFFFFFFFFF7200FFFFFFFFFFFFFFFFFFFFFFFFFFFFFFFFFFFFFFFFFFFFFFFFFFFFFFFFFFFFFFFFFFFFFFFFFFFFFFFFFFFFFFFFFFFF7300FFFFFFFFFFFFFFFFFFFFFFFFFFFF7400FFFFFFFFFFFFFFFFFFFFFFFFFFFF7500FFFFFFFFFFFFFFFFFFFFFFFFFFFFFFFFFFFFFFFFFFFFFFFFFFFFFFFFFFFF7600FFFFFFFFFFFFFFFFFFFFFFFFFFFFFFFFFFFFFFFFFFFFFFFFFFFFFFFFFFFF7700FFFFFFFFFFFFFFFFFFFFFFFFFFFFFFFFFFFFFFFFFFFFFFFFFFFFFFFFFFFF7800FFFFFFFFFFFFFFFFFFFFFFFFFFFFFFFFFFFFFFFFFFFFFFFFFFFFFFFFFFFFFFFFFFFFFFFFFFFFFFFFFFFFFFFFFFFFFFFFFFFFFFFFFFFFFFFFFFFFFFFFFFFF7900FFFFFFFFFFFF7A007B007C007D007E00FFFFFFFFFFFF7F008000810082008300FFFFFFFFFFFF84008500860087008800FFFFFFFFFFFF89008A008B008C008D00FFFFFFFFFFFF8E008F00900091009200FFFFFFFFFFFF93009400950096009700FFFFFFFFFFFF980099009A009B009C00FFFFFFFFFFFF9D009E009F00A000A100FFFFFFFFFFFFA200A300A400A500A600FFFFFFFFFFFFA700A800A900AA00AB00FFFFFFFFFFFFAC00AD00AE00AF00B000FFFFFFFFFFFFB100B200B300B400B500FFFFFFFFFFFFB600FFFFFFFFFFFFB700FFFFFFFFFFFFB800FFFFFFFFFFFFB900FFFFFFFFFFFFBA00FFFFFFFFFFFFBB00FFFFFFFFFFFFBC00FFFFFFFFFFFFBD00FFFFFFFFFFFFBE00BF00C000FFFFC100FFFFFFFFFFFFC200C300C400FFFFC500FFFFFFFFFFFFC600C700C800FFFFC900FFFFFFFFFFFFCA00CB00CC00FFFFCD00FFFFFFFFFFFFCE00CF00D000FFFFD100FFFFFFFFFFFFD200D300D400FFFFD500FFFFFFFFFFFFD600D700D800FFFFD900FFFFFFFFFFFFDA00DB00DC00FFFFDD00FFFFFFFFFFFFDE00DF00E000FFFFE100FFFFFFFFFFFFE200E300E400FFFFE500FFFFFFFFFFFFE600E700E800FFFFE900FFFFFFFFFFFFEA00EB00EC00FFFFED00FFFFFFFFFFFFEE00EF00F000FFFFF100FFFFFFFFFFFFF200F300F400FFFFF500FFFFFFFFFFFFF600F700F800FFFFF900FFFFFFFFFFFFFA00FB00FC00FFFFFD00FFFFFFFFFFFFFE00FF00000101010201FFFFFFFFFFFF03010401050106010701FFFFFFFFFFFF080109010A010B010C01FFFFFFFFFFFF0D010E010F0110011101FFFFFFFFFFFF12011301140115011601FFFFFFFFFFFF1701180119011A011B01FFFFFFFFFFFF1C011D011E011F012001FFFFFFFFFFFF21012201230124012501FFFFFFFFFFFF26012701280129012A01FFFFFFFFFFFF2B012C012D012E012F01FFFFFFFFFFFF30013101320133013401FFFFFFFFFFFF35013601370138013901FFFFFFFFFFFF3A013B01FFFFFFFF3C01FFFFFFFFFFFF3D013E01FFFFFFFF3F01FFFFFFFFFFFF40014101FFFFFFFF4201FFFFFFFFFFFF43014401FFFFFFFF4501FFFFFFFFFFFF46014701FFFFFFFF4801FFFFFFFFFFFF49014A01FFFFFFFF4B01FFFFFFFFFFFF4B014C01FFFFFFFF4D01FFFFFFFFFFFF4D014E01FFFFFFFF4F01FFFFFFFFFFFFFFFFFFFFFFFFFFFFFFFFFFFFFFFFFFFFFFFFFFFFFFFFFFFFFFFFFFFFFFFFFFFFFFFFFFFFFFFFFFFFFFFFFFFFFFFFFFFFFFFFFFFFFFFFFFFF4F01FFFFFFFFFFFFFFFFFFFFFFFFFFFFFFFFFFFFFFFFFFFFFFFFFFFFFFFFFFFFFFFFFFFFFFFFFFFFFFFFFFFFFFFFFFFFFFFFFFFFFFFFFFFFFFFFFFFFFFFFFFFF4F01FFFFFFFFFFFFFFFFFFFFFFFFFFFFFFFFFFFFFFFFFFFFFFFFFFFFFFFFFFFFFFFFFFFFFFFFFFFFFFFFFFFFFFFFFFFFFFFFFFFFFFFFFFFFFFFFFFFFFFFFFFFF5001FFFFFFFFFFFFFFFFFFFFFFFFFFFF5101FFFFFFFFFFFFFFFFFFFFFFFFFFFF5201FFFFFFFFFFFFFFFFFFFFFFFFFFFFFFFFFFFFFFFFFFFFFFFFFFFFFFFFFFFF5301FFFFFFFFFFFFFFFFFFFFFFFFFFFFFFFFFFFFFFFFFFFFFFFFFFFFFFFFFFFFFFFFFFFFFFFFFFFFFFFFFFFFFFFFFFFFFFFFFFFFFFFFFFFFFFFFFFFFFFFFFFFF5401FFFFFFFFFFFFFFFFFFFFFFFFFFFFFFFFFFFFFFFFFFFFFFFFFFFFFFFFFFFFFFFFFFFFFFFFFFFFFFFFFFFFFFFFFFFFFFFFFFFFFFFFFFFFFFFFFFFFFFFFFFFF5501FFFFFFFFFFFFFFFFFFFFFFFFFFFFFFFFFFFFFFFFFFFFFFFFFFFFFFFFFFFFFFFFFFFFFFFFFFFFFFFFFFFFFFFFFFFFFFFFFFFFFFFFFFFFFFFFFFFFFFFFFFFF5601FFFFFFFFFFFFFFFFFFFFFFFFFFFFFFFFFFFFFFFFFFFFFFFFFFFFFFFFFFFFFFFFFFFFFFFFFFFFFFFFFFFFFFFFFFFFFFFFFFFFFFFFFFFFFFFFFFFFFFFFFFFF5701FFFFFFFFFFFFFFFFFFFFFFFFFFFFFFFFFFFFFFFFFFFFFFFFFFFFFFFFFFFFFFFFFFFFFFFFFFFFFFFFFFFFFFFFFFFFFFFFFFFFFFFFFFFFFFFFFFFFFFFFFFFF5801FFFFFFFFFFFFFFFFFFFFFFFFFFFFFFFFFFFFFFFFFFFFFFFFFFFFFFFFFFFFFFFFFFFFFFFFFFFFFFFFFFFFFFFFFFFFFFFFFFFFFFFFFFFFFFFFFFFFFFFFFFFF5901FFFFFFFFFFFFFFFFFFFFFFFFFFFFFFFFFFFFFFFFFFFFFFFFFFFFFFFFFFFFFFFFFFFFFFFFFFFFFFFFFFFFFFFFFFFFFFFFFFFFFFFFFFFFFFFFFFFFFFFFFFFF5A01FFFFFFFFFFFFFFFFFFFFFFFFFFFFFFFFFFFFFFFFFFFFFFFFFFFFFFFFFFFFFFFFFFFFFFFFFFFFFFFFFFFFFFFFFFFFFFFFFFFFFFFFFFFFFFFFFFFFFFFFFFFF5B01FFFFFFFFFFFF5C01FFFFFFFFFFFF5D01FFFFFFFFFFFF5E01FFFFFFFFFFFFFFFFFFFFFFFFFFFFFFFFFFFFFFFFFFFF5F01FFFFFFFFFFFF6001FFFFFFFFFFFF4502450245024502FFFFFFFFFFFFFFFF4602460246024602FFFFFFFFFFFFFFFF4702470247024702FFFFFFFFFFFFFFFF4802480248024802FFFFFFFFFFFFFFFF59025A025B025C02FFFFFFFFFFFFFFFFFFFFFFFFFFFFFFFFFFFFFFFFFFFFFFFF5D025D025D025D02FFFFFFFFFFFFFFFFFFFFFFFFFFFFFFFFFFFFFFFFFFFFFFFF5E025F0260026102FFFFFFFFFFFFFFFFFFFFFFFFFFFFFFFFFFFFFFFFFFFFFFFF6202620262026202FFFFFFFFFFFFFFFFFFFFFFFFFFFFFFFFFFFFFFFFFFFFFFFF6302640265026602FFFFFFFFFFFFFFFF6702670267026702FFFFFFFFFFFFFFFF6802680268026802FFFFFFFFFFFFFFFFFFFFFFFFFFFFFFFFFFFFFFFFFFFFFFFF69026A026B026C02FFFFFFFFFFFFFFFF6D026D026D026D02FFFFFFFFFFFFFFFF6E026E026E026E02FFFFFFFFFFFFFFFFFFFFFFFFFFFFFFFFFFFFFFFFFFFFFFFF6F02700271027202FFFFFFFFFFFFFFFF7302730273027302FFFFFFFFFFFFFFFF7402740274027402FFFFFFFFFFFFFFFF7502750275027502FFFFFFFFFFFFFFFF7602770278027902FFFFFFFFFFFFFFFF7A027A027A027A02FFFFFFFFFFFFFFFF7B027B027B027B02FFFFFFFFFFFFFFFFFFFFFFFFFFFFFFFFFFFFFFFFFFFFFFFF7C027D027E027F02FFFFFFFFFFFFFFFF8002800280028002FFFFFFFFFFFFFFFF8102810281028102FFFFFFFFFFFFFFFF8202820282028202FFFFFFFFFFFFFFFF8302840285028602FFFFFFFFFFFFFFFF8702870287028702FFFFFFFFFFFFFFFF8802880288028802FFFFFFFFFFFFFFFF8902890289028902FFFFFFFFFFFFFFFF8A02FFFFFFFFFFFFFFFFFFFFFFFFFFFFFFFFFFFFFFFFFFFFFFFFFFFFFFFFFFFFFFFFFFFFFFFFFFFFFFFFFFFFFFFFFFFFFFFFFFFFFFFFFFFFFFFFFFFFFFFFFFFF8B02FFFFFFFFFFFFFFFFFFFFFFFFFFFFFFFFFFFFFFFFFFFFFFFFFFFFFFFFFFFFFFFFFFFFFFFFFFFFFFFFFFFFFFFFFFFFFFFFFFFFFFFFFFFFFFFFFFFFFFFFFFFF8C028D028E028F02FFFFFFFFFFFFFFFF9002900290029002FFFFFFFFFFFFFFFF9102910291029102FFFFFFFFFFFFFFFF9202920292029202FFFFFFFFFFFFFFFF9302940295029602FFFFFFFFFFFFFFFFFFFFFFFFFFFFFFFFFFFFFFFFFFFFFFFFFFFFFFFFFFFFFFFFFFFFFFFFFFFFFFFFFFFFFFFFFFFFFFFFFFFFFFFFFFFFFFFF9702980299029A02FFFFFFFFFFFFFFFFFFFFFFFFFFFFFFFFFFFFFFFFFFFFFFFFFFFFFFFFFFFFFFFFFFFFFFFFFFFFFFFFFFFFFFFFFFFFFFFFFFFFFFFFFFFFFFFF9B029C029D029E02FFFFFFFFFFFFFFFFFFFFFFFFFFFFFFFFFFFFFFFFFFFFFFFF9F029F029F029F02FFFFFFFFFFFFFFFFFFFFFFFFFFFFFFFFFFFFFFFFFFFFFFFFA002A102A202A302FFFFFFFFFFFFFFFFFFFFFFFFFFFFFFFFFFFFFFFFFFFFFFFFA402A402A402A402FFFFFFFFFFFFFFFFFFFFFFFFFFFFFFFFFFFFFFFFFFFFFFFFA502A602A702A802FFFFFFFFFFFFFFFFFFFFFFFFFFFFFFFFFFFFFFFFFFFFFFFFA902A902A902A902FFFFFFFFFFFFFFFFFFFFFFFFFFFFFFFFFFFFFFFFFFFFFFFFAA02AA02AA02AA02FFFFFFFFFFFFFFFFFFFFFFFFFFFFFFFFFFFFFFFFFFFFFFFFAB02AB02AB02AB02FFFFFFFFFFFFFFFFFFFFFFFFFFFFFFFFFFFFFFFFFFFFFFFFAC02AC02AC02AC02FFFFFFFFFFFFFFFFAD02AD02AD02AD02FFFFFFFFFFFFFFFFAE02AE02AE02AE02FFFFFFFFFFFFFFFFFFFFFFFFFFFFFFFFFFFFFFFFFFFFFFFFAF02AF02AF02AF02FFFFFFFFFFFFFFFFAD02AD02AD02AD02FFFFFFFFFFFFFFFFAE02AE02AE02AE02FFFFFFFFFFFFFFFFFFFFFFFFFFFFFFFFFFFFFFFFFFFFFFFFB002B002B002B002FFFFFFFFFFFFFFFFAD02AD02AD02AD02FFFFFFFFFFFFFFFFAE02AE02AE02AE02FFFFFFFFFFFFFFFFFFFFFFFFFFFFFFFFFFFFFFFFFFFFFFFF5302540255025602FFFFFFFFFFFFFFFF5702570257025702FFFFFFFFFFFFFFFF5802580258025802FFFFFFFFFFFFFFFFFFFFFFFFFFFFFFFFFFFFFFFFFFFFFFFFB602B702B802B902FFFFFFFFFFFFFFFFBA02BA02BA02BA02FFFFFFFFFFFFFFFFBB02BB02BB02BB02FFFFFFFFFFFFFFFFFFFFFFFFFFFFFFFFFFFFFFFFFFFFFFFFBC02BD02BE02BF02FFFFFFFFFFFFFFFFC002C002C002C002FFFFFFFFFFFFFFFFC102C102C102C102FFFFFFFFFFFFFFFFFFFFFFFFFFFFFFFFFFFFFFFFFFFFFFFFC202FFFFFFFFFFFFFFFFFFFFFFFFFFFFFFFFFFFFFFFFFFFFFFFFFFFFFFFFFFFFFFFFFFFFFFFFFFFFFFFFFFFFFFFFFFFFFFFFFFFFFFFFFFFFFFFFFFFFFFFFFFFFC302FFFFFFFFFFFFFFFFFFFFFFFFFFFFFFFFFFFFFFFFFFFFFFFFFFFFFFFFFFFFC802FFFFFFFFFFFFFFFFFFFFFFFFFFFFFFFFFFFFFFFFFFFFFFFFFFFFFFFFFFFFC902FFFFFFFFFFFFFFFFFFFFFFFFFFFFFFFFFFFFFFFFFFFFFFFFFFFFFFFFFFFFFFFFFFFFFFFFFFFFFFFFFFFFFFFFFFFFFFFFFFFFFFFFFFFFFFFFFFFFFFFFFFFFCA02FFFFFFFFFFFFFFFFFFFFFFFFFFFFFFFFFFFFFFFFFFFFFFFFFFFFFFFFFFFFFFFFFFFFFFFFFFFFFFFFFFFFFFFFFFFFFFFFFFFFFFFFFFFFFFFFFFFFFFFFFFFFCB02FFFFFFFFFFFFFFFFFFFFFFFFFFFFCC02FFFFFFFFFFFFFFFFFFFFFFFFFFFFFFFFFFFFFFFFFFFFFFFFFFFFFFFFFFFFFFFFFFFFFFFFFFFFFFFFFFFFFFFFFFFFCD02FFFFFFFFFFFFFFFFFFFFFFFFFFFFCC02FFFFFFFFFFFFFFFFFFFFFFFFFFFFFFFFFFFFFFFFFFFFFFFFFFFFFFFFFFFFFFFFFFFFFFFFFFFFFFFFFFFFFFFFFFFFCE02FFFFFFFFFFFFFFFFFFFFFFFFFFFFCF02FFFFFFFFFFFFFFFFFFFFFFFFFFFFFFFFFFFFFFFFFFFFFFFFFFFFFFFFFFFFFFFFFFFFFFFFFFFFFFFFFFFFFFFFFFFFD002D102D202D302FFFFFFFFFFFFFFFFD402D402D402D402FFFFFFFFFFFFFFFFFFFFFFFFFFFFFFFFFFFFFFFFFFFFFFFFFFFFFFFFFFFFFFFFFFFFFFFFFFFFFFFFD502FFFFFFFFFFFFFFFFFFFFFFFFFFFFD602FFFFFFFFFFFFFFFFFFFFFFFFFFFFD702FFFFFFFFFFFFFFFFFFFFFFFFFFFFFFFFFFFFFFFFFFFFFFFFFFFFFFFFFFFFD802FFFFFFFFFFFFFFFFFFFFFFFFFFFFD902FFFFFFFFFFFFFFFFFFFFFFFFFFFFFFFFFFFFFFFFFFFFFFFFFFFFFFFFFFFFFFFFFFFFFFFFFFFFFFFFFFFFFFFFFFFFDA02FFFFFFFFFFFFFFFFFFFFFFFFFFFFDB02FFFFFFFFFFFFFFFFFFFFFFFFFFFFDC02FFFFFFFFFFFFFFFFFFFFFFFFFFFFFFFFFFFFFFFFFFFFFFFFFFFFFFFFFFFFDD02FFFFFFFFFFFFFFFFFFFFFFFFFFFFFFFFFFFFFFFFFFFFFFFFFFFFFFFFFFFFFFFFFFFFFFFFFFFFFFFFFFFFFFFFFFFFFFFFFFFFFFFFFFFFFFFFFFFFFFFFFFFFDE02DF02E002E102FFFFFFFFFFFFFFFFE202E202E202E202FFFFFFFFFFFFFFFFE302E302E302E302FFFFFFFFFFFFFFFFE402E402E402E402FFFFFFFFFFFFFFFFE502E602E702E802FFFFFFFFFFFFFFFFE202E202E202E202FFFFFFFFFFFFFFFFE302E302E302E302FFFFFFFFFFFFFFFFE402E402E402E402FFFFFFFFFFFFFFFFE902EA02EB02EC02FFFFFFFFFFFFFFFFE202E202E202E202FFFFFFFFFFFFFFFFE302E302E302E302FFFFFFFFFFFFFFFFE402E402E402E402FFFFFFFFFFFFFFFFED02EE02EF02F002FFFFFFFFFFFFFFFFF102F102F102F102FFFFFFFFFFFFFFFFF202F202F202F202FFFFFFFFFFFFFFFFF302F302F302F302FFFFFFFFFFFFFFFFF402FFFFFFFFFFFFFFFFFFFFFFFFFFFFF502FFFFFFFFFFFFFFFFFFFFFFFFFFFFFFFFFFFFFFFFFFFFFFFFFFFFFFFFFFFFFFFFFFFFFFFFFFFFFFFFFFFFFFFFFFFFF602FFFFFFFFFFFFFFFFFFFFFFFFFFFFF702FFFFFFFFFFFFFFFFFFFFFFFFFFFFF802FFFFFFFFFFFFFFFFFFFFFFFFFFFFFFFFFFFFFFFFFFFFFFFFFFFFFFFFFFFFF902FFFFFFFFFFFFFFFFFFFFFFFFFFFFFFFFFFFFFFFFFFFFFFFFFFFFFFFFFFFFFFFFFFFFFFFFFFFFFFFFFFFFFFFFFFFFFFFFFFFFFFFFFFFFFFFFFFFFFFFFFFFFFA02FFFFFFFFFFFFFFFFFFFFFFFFFFFFFFFFFFFFFFFFFFFFFFFFFFFFFFFFFFFFFFFFFFFFFFFFFFFFFFFFFFFFFFFFFFFFFFFFFFFFFFFFFFFFFFFFFFFFFFFFFFFFFB02FFFFFFFFFFFFFFFFFFFFFFFFFFFFFC02FFFFFFFFFFFFFFFFFFFFFFFFFFFFFD02FFFFFFFFFFFFFFFFFFFFFFFFFFFFFE02FFFFFFFFFFFFFFFFFFFFFFFFFFFFFF02FFFFFFFFFFFFFFFFFFFFFFFFFFFF0003FFFFFFFFFFFFFFFFFFFFFFFFFFFF0103FFFFFFFFFFFFFFFFFFFFFFFFFFFF0203FFFFFFFFFFFFFFFFFFFFFFFFFFFF0303FFFFFFFFFFFFFFFFFFFFFFFFFFFF0403FFFFFFFFFFFFFFFFFFFFFFFFFFFF0503FFFFFFFFFFFFFFFFFFFFFFFFFFFF0603FFFFFFFFFFFFFFFFFFFFFFFFFFFF0303FFFFFFFFFFFFFFFFFFFFFFFFFFFF0403FFFFFFFFFFFFFFFFFFFFFFFFFFFF0503FFFFFFFFFFFFFFFFFFFFFFFFFFFF0603FFFFFFFFFFFFFFFFFFFFFFFFFFFF0703080309030A03FFFFFFFFFFFFFFFF0B030B030B030B03FFFFFFFFFFFFFFFF0C030C030C030C03FFFFFFFFFFFFFFFFFFFFFFFFFFFFFFFFFFFFFFFFFFFFFFFF0D030E030F031003FFFFFFFFFFFFFFFF0B030B030B030B03FFFFFFFFFFFFFFFF0C030C030C030C03FFFFFFFFFFFFFFFFFFFFFFFFFFFFFFFFFFFFFFFFFFFFFFFF1103120313031403FFFFFFFFFFFFFFFF7A027A027A027A02FFFFFFFFFFFFFFFF7B027B027B027B02FFFFFFFFFFFFFFFF1503150315031503FFFFFFFFFFFFFFFF1603170318031903FFFFFFFFFFFFFFFFFFFFFFFFFFFFFFFFFFFFFFFFFFFFFFFFFFFFFFFFFFFFFFFFFFFFFFFFFFFFFFFFFFFFFFFFFFFFFFFFFFFFFFFFFFFFFFFF1A031B031C031D03FFFFFFFFFFFFFFFF1E031E031E031E03FFFFFFFFFFFFFFFF1F031F031F031F03FFFFFFFFFFFFFFFFFFFFFFFFFFFFFFFFFFFFFFFFFFFFFFFF2003210322032303FFFFFFFFFFFFFFFF2403240324032403FFFFFFFFFFFFFFFF2503250325032503FFFFFFFFFFFFFFFF2603260326032603FFFFFFFFFFFFFFFF2703280329032A03FFFFFFFFFFFFFFFF2403240324032403FFFFFFFFFFFFFFFF2503250325032503FFFFFFFFFFFFFFFF2603260326032603FFFFFFFFFFFFFFFF2B03FFFFFFFFFFFFFFFFFFFFFFFFFFFF2C03FFFFFFFFFFFFFFFFFFFFFFFFFFFFFFFFFFFFFFFFFFFFFFFFFFFFFFFFFFFFFFFFFFFFFFFFFFFFFFFFFFFFFFFFFFFF3003FFFFFFFFFFFFFFFFFFFFFFFFFFFF3103FFFFFFFFFFFFFFFFFFFFFFFFFFFF3203FFFFFFFFFFFFFFFFFFFFFFFFFFFF3303FFFFFFFFFFFFFFFFFFFFFFFFFFFF3403FFFFFFFFFFFFFFFFFFFFFFFFFFFF3503FFFFFFFFFFFFFFFFFFFFFFFFFFFF3603FFFFFFFFFFFFFFFFFFFFFFFFFFFF3703FFFFFFFFFFFFFFFFFFFFFFFFFFFF380339033A033B03FFFFFFFFFFFFFFFF3C033C033C033C03FFFFFFFFFFFFFFFFFFFFFFFFFFFFFFFFFFFFFFFFFFFFFFFFFFFFFFFFFFFFFFFFFFFFFFFFFFFFFFFF3D03FFFFFFFFFFFFFFFFFFFFFFFFFFFF3E03FFFFFFFFFFFFFFFFFFFFFFFFFFFFFFFFFFFFFFFFFFFFFFFFFFFFFFFFFFFFFFFFFFFFFFFFFFFFFFFFFFFFFFFFFFFF3F03400341034203FFFFFFFFFFFFFFFF4303430343034303FFFFFFFFFFFFFFFF4403440344034403FFFFFFFFFFFFFFFFFFFFFFFFFFFFFFFFFFFFFFFFFFFFFFFF4503460347034803FFFFFFFFFFFFFFFF4303430343034303FFFFFFFFFFFFFFFFFFFFFFFFFFFFFFFFFFFFFFFFFFFFFFFFFFFFFFFFFFFFFFFFFFFFFFFFFFFFFFFF4903FFFFFFFFFFFFFFFFFFFFFFFFFFFF4A03FFFFFFFFFFFFFFFFFFFFFFFFFFFFFFFFFFFFFFFFFFFFFFFFFFFFFFFFFFFFFFFFFFFFFFFFFFFFFFFFFFFFFFFFFFFF4C03FFFFFFFFFFFFFFFFFFFFFFFFFFFFFFFFFFFFFFFFFFFFFFFFFFFFFFFFFFFFFFFFFFFFFFFFFFFFFFFFFFFFFFFFFFFFFFFFFFFFFFFFFFFFFFFFFFFFFFFFFFFF4D03FFFFFFFFFFFFFFFFFFFFFFFFFFFFFFFFFFFFFFFFFFFFFFFFFFFFFFFFFFFFFFFFFFFFFFFFFFFFFFFFFFFFFFFFFFFFFFFFFFFFFFFFFFFFFFFFFFFFFFFFFFFF4E034F0350035103FFFFFFFFFFFFFFFF5203520352035203FFFFFFFFFFFFFFFF5303530353035303FFFFFFFFFFFFFFFF5403540354035403FFFFFFFFFFFFFFFF5503560357035803FFFFFFFFFFFFFFFF5903590359035903FFFFFFFFFFFFFFFF5A035A035A035A03FFFFFFFFFFFFFFFF5B035B035B035B03FFFFFFFFFFFFFFFF5C03FFFFFFFFFFFFFFFFFFFFFFFFFFFFFFFFFFFFFFFFFFFFFFFFFFFFFFFFFFFFFFFFFFFFFFFFFFFFFFFFFFFFFFFFFFFFFFFFFFFFFFFFFFFFFFFFFFFFFFFFFFFF5D03FFFFFFFFFFFFFFFFFFFFFFFFFFFF5E03FFFFFFFFFFFFFFFFFFFFFFFFFFFFFFFFFFFFFFFFFFFFFFFFFFFFFFFFFFFFFFFFFFFFFFFFFFFFFFFFFFFFFFFFFFFF6203FFFFFFFFFFFFFFFFFFFFFFFFFFFF6303FFFFFFFFFFFFFFFFFFFFFFFFFFFFFFFFFFFFFFFFFFFFFFFFFFFFFFFFFFFFFFFFFFFFFFFFFFFFFFFFFFFFFFFFFFFF</v>
      </c>
      <c r="S4" s="3"/>
      <c r="T4" s="3"/>
      <c r="U4" s="3"/>
      <c r="V4" s="3"/>
      <c r="W4" s="3"/>
      <c r="X4" s="3"/>
      <c r="Y4" s="3"/>
      <c r="Z4" s="3"/>
      <c r="AA4" s="3"/>
      <c r="AB4" s="4"/>
    </row>
    <row r="5">
      <c r="B5" s="6"/>
      <c r="C5" s="7"/>
      <c r="M5" s="8"/>
      <c r="P5" s="7"/>
      <c r="Q5" s="8"/>
      <c r="R5" s="7"/>
      <c r="AB5" s="8"/>
    </row>
    <row r="6">
      <c r="B6" s="9"/>
      <c r="C6" s="7"/>
      <c r="M6" s="8"/>
      <c r="P6" s="10"/>
      <c r="Q6" s="11"/>
      <c r="R6" s="7"/>
      <c r="AB6" s="8"/>
    </row>
    <row r="7">
      <c r="C7" s="7"/>
      <c r="M7" s="8"/>
      <c r="R7" s="7"/>
      <c r="AB7" s="8"/>
    </row>
    <row r="8">
      <c r="C8" s="7"/>
      <c r="M8" s="8"/>
      <c r="R8" s="7"/>
      <c r="AB8" s="8"/>
    </row>
    <row r="9">
      <c r="C9" s="7"/>
      <c r="M9" s="8"/>
      <c r="R9" s="7"/>
      <c r="AB9" s="8"/>
    </row>
    <row r="10">
      <c r="C10" s="7"/>
      <c r="M10" s="8"/>
      <c r="R10" s="7"/>
      <c r="AB10" s="8"/>
    </row>
    <row r="11">
      <c r="C11" s="7"/>
      <c r="M11" s="8"/>
      <c r="R11" s="7"/>
      <c r="AB11" s="8"/>
    </row>
    <row r="12">
      <c r="C12" s="7"/>
      <c r="M12" s="8"/>
      <c r="R12" s="7"/>
      <c r="AB12" s="8"/>
    </row>
    <row r="13">
      <c r="C13" s="7"/>
      <c r="M13" s="8"/>
      <c r="R13" s="7"/>
      <c r="AB13" s="8"/>
    </row>
    <row r="14">
      <c r="C14" s="7"/>
      <c r="M14" s="8"/>
      <c r="R14" s="7"/>
      <c r="AB14" s="8"/>
    </row>
    <row r="15">
      <c r="C15" s="7"/>
      <c r="M15" s="8"/>
      <c r="R15" s="7"/>
      <c r="AB15" s="8"/>
    </row>
    <row r="16">
      <c r="C16" s="7"/>
      <c r="M16" s="8"/>
      <c r="R16" s="7"/>
      <c r="AB16" s="8"/>
    </row>
    <row r="17">
      <c r="C17" s="7"/>
      <c r="M17" s="8"/>
      <c r="R17" s="7"/>
      <c r="AB17" s="8"/>
    </row>
    <row r="18">
      <c r="C18" s="7"/>
      <c r="M18" s="8"/>
      <c r="R18" s="7"/>
      <c r="AB18" s="8"/>
    </row>
    <row r="19">
      <c r="C19" s="7"/>
      <c r="M19" s="8"/>
      <c r="R19" s="7"/>
      <c r="AB19" s="8"/>
    </row>
    <row r="20">
      <c r="C20" s="7"/>
      <c r="M20" s="8"/>
      <c r="R20" s="7"/>
      <c r="AB20" s="8"/>
    </row>
    <row r="21">
      <c r="C21" s="7"/>
      <c r="M21" s="8"/>
      <c r="R21" s="7"/>
      <c r="AB21" s="8"/>
    </row>
    <row r="22">
      <c r="C22" s="7"/>
      <c r="M22" s="8"/>
      <c r="R22" s="7"/>
      <c r="AB22" s="8"/>
    </row>
    <row r="23">
      <c r="C23" s="7"/>
      <c r="M23" s="8"/>
      <c r="R23" s="7"/>
      <c r="AB23" s="8"/>
    </row>
    <row r="24">
      <c r="C24" s="7"/>
      <c r="M24" s="8"/>
      <c r="R24" s="7"/>
      <c r="AB24" s="8"/>
    </row>
    <row r="25">
      <c r="C25" s="7"/>
      <c r="M25" s="8"/>
      <c r="R25" s="7"/>
      <c r="AB25" s="8"/>
    </row>
    <row r="26">
      <c r="C26" s="7"/>
      <c r="M26" s="8"/>
      <c r="R26" s="7"/>
      <c r="AB26" s="8"/>
    </row>
    <row r="27">
      <c r="C27" s="7"/>
      <c r="M27" s="8"/>
      <c r="R27" s="7"/>
      <c r="AB27" s="8"/>
    </row>
    <row r="28">
      <c r="C28" s="7"/>
      <c r="M28" s="8"/>
      <c r="R28" s="7"/>
      <c r="AB28" s="8"/>
    </row>
    <row r="29">
      <c r="C29" s="7"/>
      <c r="M29" s="8"/>
      <c r="R29" s="7"/>
      <c r="AB29" s="8"/>
    </row>
    <row r="30">
      <c r="C30" s="7"/>
      <c r="M30" s="8"/>
      <c r="R30" s="7"/>
      <c r="AB30" s="8"/>
    </row>
    <row r="31">
      <c r="C31" s="7"/>
      <c r="M31" s="8"/>
      <c r="R31" s="7"/>
      <c r="AB31" s="8"/>
    </row>
    <row r="32">
      <c r="C32" s="7"/>
      <c r="M32" s="8"/>
      <c r="R32" s="7"/>
      <c r="AB32" s="8"/>
    </row>
    <row r="33">
      <c r="C33" s="7"/>
      <c r="M33" s="8"/>
      <c r="R33" s="7"/>
      <c r="AB33" s="8"/>
    </row>
    <row r="34">
      <c r="C34" s="10"/>
      <c r="D34" s="12"/>
      <c r="E34" s="12"/>
      <c r="F34" s="12"/>
      <c r="G34" s="12"/>
      <c r="H34" s="12"/>
      <c r="I34" s="12"/>
      <c r="J34" s="12"/>
      <c r="K34" s="12"/>
      <c r="L34" s="12"/>
      <c r="M34" s="11"/>
      <c r="R34" s="10"/>
      <c r="S34" s="12"/>
      <c r="T34" s="12"/>
      <c r="U34" s="12"/>
      <c r="V34" s="12"/>
      <c r="W34" s="12"/>
      <c r="X34" s="12"/>
      <c r="Y34" s="12"/>
      <c r="Z34" s="12"/>
      <c r="AA34" s="12"/>
      <c r="AB34" s="11"/>
    </row>
    <row r="38">
      <c r="B38" s="13" t="s">
        <v>3</v>
      </c>
      <c r="C38" s="42" t="s">
        <v>4</v>
      </c>
      <c r="D38" s="16" t="s">
        <v>128</v>
      </c>
      <c r="E38" s="3"/>
      <c r="F38" s="3"/>
      <c r="G38" s="3"/>
      <c r="H38" s="3"/>
      <c r="I38" s="3"/>
      <c r="J38" s="3"/>
      <c r="K38" s="3"/>
      <c r="L38" s="16" t="s">
        <v>129</v>
      </c>
      <c r="M38" s="3"/>
      <c r="N38" s="3"/>
      <c r="O38" s="3"/>
      <c r="P38" s="3"/>
      <c r="Q38" s="3"/>
      <c r="R38" s="3"/>
      <c r="S38" s="3"/>
      <c r="T38" s="16" t="s">
        <v>130</v>
      </c>
      <c r="U38" s="3"/>
      <c r="V38" s="3"/>
      <c r="W38" s="3"/>
      <c r="X38" s="3"/>
      <c r="Y38" s="3"/>
      <c r="Z38" s="3"/>
      <c r="AA38" s="17"/>
      <c r="AB38" s="15" t="s">
        <v>129</v>
      </c>
      <c r="AC38" s="3"/>
      <c r="AD38" s="3"/>
      <c r="AE38" s="3"/>
      <c r="AF38" s="3"/>
      <c r="AG38" s="3"/>
      <c r="AH38" s="3"/>
      <c r="AI38" s="4"/>
    </row>
    <row r="39">
      <c r="A39" s="18"/>
      <c r="B39" s="10"/>
      <c r="C39" s="43"/>
      <c r="D39" s="21" t="s">
        <v>131</v>
      </c>
      <c r="E39" s="20" t="s">
        <v>132</v>
      </c>
      <c r="F39" s="20" t="s">
        <v>133</v>
      </c>
      <c r="G39" s="20" t="s">
        <v>134</v>
      </c>
      <c r="H39" s="20"/>
      <c r="I39" s="20"/>
      <c r="J39" s="20"/>
      <c r="K39" s="20"/>
      <c r="L39" s="21"/>
      <c r="M39" s="20"/>
      <c r="N39" s="20"/>
      <c r="O39" s="20"/>
      <c r="P39" s="20"/>
      <c r="Q39" s="20"/>
      <c r="R39" s="20"/>
      <c r="S39" s="20"/>
      <c r="T39" s="21" t="s">
        <v>131</v>
      </c>
      <c r="U39" s="20" t="s">
        <v>132</v>
      </c>
      <c r="V39" s="20" t="s">
        <v>133</v>
      </c>
      <c r="W39" s="20" t="s">
        <v>134</v>
      </c>
      <c r="X39" s="20"/>
      <c r="Y39" s="20"/>
      <c r="Z39" s="20"/>
      <c r="AA39" s="22"/>
      <c r="AB39" s="20"/>
      <c r="AC39" s="20"/>
      <c r="AD39" s="20"/>
      <c r="AE39" s="20"/>
      <c r="AF39" s="20"/>
      <c r="AG39" s="20"/>
      <c r="AH39" s="20"/>
      <c r="AI39" s="44"/>
      <c r="AJ39" s="23"/>
    </row>
    <row r="40">
      <c r="B40" s="24">
        <v>0.0</v>
      </c>
      <c r="C40" s="25" t="s">
        <v>11</v>
      </c>
      <c r="D40" s="26">
        <v>74.0</v>
      </c>
      <c r="K40" s="29"/>
      <c r="S40" s="29"/>
      <c r="T40" s="26">
        <v>75.0</v>
      </c>
      <c r="AA40" s="29"/>
      <c r="AI40" s="45"/>
    </row>
    <row r="41">
      <c r="B41" s="24">
        <v>1.0</v>
      </c>
      <c r="C41" s="25" t="s">
        <v>135</v>
      </c>
      <c r="D41" s="26">
        <v>76.0</v>
      </c>
      <c r="E41" s="26">
        <v>77.0</v>
      </c>
      <c r="F41" s="26">
        <v>78.0</v>
      </c>
      <c r="G41" s="26">
        <v>79.0</v>
      </c>
      <c r="K41" s="25"/>
      <c r="S41" s="25"/>
      <c r="T41" s="26">
        <v>80.0</v>
      </c>
      <c r="U41" s="26">
        <v>81.0</v>
      </c>
      <c r="V41" s="26">
        <v>82.0</v>
      </c>
      <c r="W41" s="26">
        <v>83.0</v>
      </c>
      <c r="AA41" s="29"/>
      <c r="AI41" s="45"/>
    </row>
    <row r="42">
      <c r="B42" s="24">
        <v>2.0</v>
      </c>
      <c r="C42" s="25" t="s">
        <v>32</v>
      </c>
      <c r="D42" s="26">
        <v>84.0</v>
      </c>
      <c r="K42" s="29"/>
      <c r="S42" s="29"/>
      <c r="T42" s="26">
        <v>85.0</v>
      </c>
      <c r="AA42" s="29"/>
      <c r="AI42" s="45"/>
    </row>
    <row r="43">
      <c r="B43" s="24">
        <v>3.0</v>
      </c>
      <c r="C43" s="25" t="s">
        <v>136</v>
      </c>
      <c r="D43" s="26">
        <v>86.0</v>
      </c>
      <c r="E43" s="26">
        <v>87.0</v>
      </c>
      <c r="F43" s="26">
        <v>88.0</v>
      </c>
      <c r="G43" s="26">
        <v>89.0</v>
      </c>
      <c r="K43" s="29"/>
      <c r="S43" s="29"/>
      <c r="T43" s="26">
        <v>90.0</v>
      </c>
      <c r="U43" s="26">
        <v>91.0</v>
      </c>
      <c r="V43" s="26">
        <v>92.0</v>
      </c>
      <c r="W43" s="26">
        <v>93.0</v>
      </c>
      <c r="AA43" s="29"/>
      <c r="AI43" s="45"/>
    </row>
    <row r="44">
      <c r="B44" s="24">
        <v>4.0</v>
      </c>
      <c r="C44" s="25" t="s">
        <v>21</v>
      </c>
      <c r="D44" s="26">
        <v>94.0</v>
      </c>
      <c r="K44" s="29"/>
      <c r="S44" s="29"/>
      <c r="AA44" s="29"/>
      <c r="AI44" s="45"/>
    </row>
    <row r="45">
      <c r="B45" s="24">
        <v>5.0</v>
      </c>
      <c r="C45" s="25" t="s">
        <v>34</v>
      </c>
      <c r="D45" s="26">
        <v>95.0</v>
      </c>
      <c r="K45" s="29"/>
      <c r="S45" s="29"/>
      <c r="AA45" s="29"/>
      <c r="AI45" s="45"/>
    </row>
    <row r="46">
      <c r="B46" s="24">
        <v>6.0</v>
      </c>
      <c r="C46" s="25" t="s">
        <v>35</v>
      </c>
      <c r="D46" s="26">
        <v>96.0</v>
      </c>
      <c r="K46" s="25"/>
      <c r="S46" s="25"/>
      <c r="T46" s="26">
        <v>97.0</v>
      </c>
      <c r="AA46" s="29"/>
      <c r="AI46" s="45"/>
    </row>
    <row r="47">
      <c r="B47" s="24">
        <v>7.0</v>
      </c>
      <c r="C47" s="25" t="s">
        <v>36</v>
      </c>
      <c r="D47" s="26">
        <v>98.0</v>
      </c>
      <c r="K47" s="25"/>
      <c r="S47" s="25"/>
      <c r="AA47" s="29"/>
      <c r="AI47" s="45"/>
    </row>
    <row r="48">
      <c r="B48" s="24">
        <v>8.0</v>
      </c>
      <c r="C48" s="25" t="s">
        <v>37</v>
      </c>
      <c r="D48" s="26">
        <v>99.0</v>
      </c>
      <c r="K48" s="29"/>
      <c r="S48" s="29"/>
      <c r="T48" s="26">
        <v>100.0</v>
      </c>
      <c r="AA48" s="29"/>
      <c r="AI48" s="45"/>
    </row>
    <row r="49">
      <c r="B49" s="24">
        <v>9.0</v>
      </c>
      <c r="C49" s="25" t="s">
        <v>38</v>
      </c>
      <c r="D49" s="26">
        <v>101.0</v>
      </c>
      <c r="K49" s="29"/>
      <c r="S49" s="29"/>
      <c r="AA49" s="29"/>
      <c r="AI49" s="45"/>
    </row>
    <row r="50">
      <c r="B50" s="24">
        <v>10.0</v>
      </c>
      <c r="C50" s="25" t="s">
        <v>19</v>
      </c>
      <c r="D50" s="26">
        <v>102.0</v>
      </c>
      <c r="K50" s="29"/>
      <c r="S50" s="29"/>
      <c r="AA50" s="29"/>
      <c r="AI50" s="45"/>
    </row>
    <row r="51">
      <c r="B51" s="24">
        <v>11.0</v>
      </c>
      <c r="C51" s="25" t="s">
        <v>137</v>
      </c>
      <c r="D51" s="26">
        <v>103.0</v>
      </c>
      <c r="K51" s="29"/>
      <c r="L51" s="26">
        <v>104.0</v>
      </c>
      <c r="S51" s="29"/>
      <c r="AA51" s="29"/>
      <c r="AI51" s="45"/>
    </row>
    <row r="52">
      <c r="B52" s="24">
        <v>12.0</v>
      </c>
      <c r="C52" s="25" t="s">
        <v>138</v>
      </c>
      <c r="D52" s="26">
        <v>105.0</v>
      </c>
      <c r="K52" s="29"/>
      <c r="L52" s="26">
        <v>106.0</v>
      </c>
      <c r="S52" s="29"/>
      <c r="AA52" s="29"/>
      <c r="AI52" s="45"/>
    </row>
    <row r="53">
      <c r="B53" s="24">
        <v>13.0</v>
      </c>
      <c r="C53" s="25" t="s">
        <v>139</v>
      </c>
      <c r="D53" s="26">
        <v>107.0</v>
      </c>
      <c r="K53" s="29"/>
      <c r="L53" s="26">
        <v>108.0</v>
      </c>
      <c r="S53" s="29"/>
      <c r="AA53" s="29"/>
      <c r="AI53" s="45"/>
    </row>
    <row r="54">
      <c r="B54" s="24">
        <v>14.0</v>
      </c>
      <c r="C54" s="25" t="s">
        <v>140</v>
      </c>
      <c r="D54" s="26">
        <v>109.0</v>
      </c>
      <c r="K54" s="29"/>
      <c r="L54" s="26">
        <v>110.0</v>
      </c>
      <c r="S54" s="29"/>
      <c r="AA54" s="29"/>
      <c r="AI54" s="45"/>
    </row>
    <row r="55">
      <c r="B55" s="24">
        <v>15.0</v>
      </c>
      <c r="C55" s="25" t="s">
        <v>141</v>
      </c>
      <c r="D55" s="26">
        <v>111.0</v>
      </c>
      <c r="K55" s="29"/>
      <c r="L55" s="26">
        <v>112.0</v>
      </c>
      <c r="S55" s="29"/>
      <c r="AA55" s="29"/>
      <c r="AI55" s="45"/>
    </row>
    <row r="56">
      <c r="B56" s="24">
        <v>16.0</v>
      </c>
      <c r="C56" s="25" t="s">
        <v>45</v>
      </c>
      <c r="D56" s="26">
        <v>98.0</v>
      </c>
      <c r="K56" s="29"/>
      <c r="S56" s="29"/>
      <c r="AA56" s="29"/>
      <c r="AI56" s="45"/>
    </row>
    <row r="57">
      <c r="B57" s="24">
        <v>17.0</v>
      </c>
      <c r="C57" s="25" t="s">
        <v>27</v>
      </c>
      <c r="D57" s="26">
        <v>113.0</v>
      </c>
      <c r="K57" s="29"/>
      <c r="L57" s="26">
        <v>114.0</v>
      </c>
      <c r="S57" s="29"/>
      <c r="AA57" s="29"/>
      <c r="AI57" s="45"/>
    </row>
    <row r="58">
      <c r="B58" s="24">
        <v>18.0</v>
      </c>
      <c r="C58" s="25" t="s">
        <v>44</v>
      </c>
      <c r="D58" s="26">
        <v>115.0</v>
      </c>
      <c r="K58" s="29"/>
      <c r="L58" s="26">
        <v>116.0</v>
      </c>
      <c r="S58" s="29"/>
      <c r="T58" s="26">
        <v>117.0</v>
      </c>
      <c r="AA58" s="29"/>
      <c r="AI58" s="45"/>
    </row>
    <row r="59">
      <c r="B59" s="24">
        <v>19.0</v>
      </c>
      <c r="C59" s="25" t="s">
        <v>46</v>
      </c>
      <c r="D59" s="26">
        <v>118.0</v>
      </c>
      <c r="K59" s="29"/>
      <c r="S59" s="29"/>
      <c r="T59" s="26">
        <v>119.0</v>
      </c>
      <c r="AA59" s="29"/>
      <c r="AI59" s="45"/>
    </row>
    <row r="60">
      <c r="B60" s="24">
        <v>20.0</v>
      </c>
      <c r="C60" s="25" t="s">
        <v>129</v>
      </c>
      <c r="D60" s="26">
        <v>120.0</v>
      </c>
      <c r="K60" s="29"/>
      <c r="S60" s="29"/>
      <c r="AA60" s="29"/>
      <c r="AI60" s="45"/>
    </row>
    <row r="61">
      <c r="B61" s="24">
        <v>21.0</v>
      </c>
      <c r="C61" s="25" t="s">
        <v>129</v>
      </c>
      <c r="D61" s="26">
        <v>121.0</v>
      </c>
      <c r="H61" s="26">
        <v>122.0</v>
      </c>
      <c r="I61" s="26">
        <v>123.0</v>
      </c>
      <c r="J61" s="26">
        <v>124.0</v>
      </c>
      <c r="K61" s="25">
        <v>125.0</v>
      </c>
      <c r="L61" s="26">
        <v>126.0</v>
      </c>
      <c r="P61" s="26">
        <v>127.0</v>
      </c>
      <c r="Q61" s="26">
        <v>128.0</v>
      </c>
      <c r="R61" s="26">
        <v>129.0</v>
      </c>
      <c r="S61" s="25">
        <v>130.0</v>
      </c>
      <c r="T61" s="26">
        <v>131.0</v>
      </c>
      <c r="X61" s="26">
        <v>132.0</v>
      </c>
      <c r="Y61" s="26">
        <v>133.0</v>
      </c>
      <c r="Z61" s="26">
        <v>134.0</v>
      </c>
      <c r="AA61" s="25">
        <v>135.0</v>
      </c>
      <c r="AB61" s="26">
        <v>136.0</v>
      </c>
      <c r="AF61" s="26">
        <v>137.0</v>
      </c>
      <c r="AG61" s="26">
        <v>138.0</v>
      </c>
      <c r="AH61" s="26">
        <v>139.0</v>
      </c>
      <c r="AI61" s="27">
        <v>140.0</v>
      </c>
    </row>
    <row r="62">
      <c r="B62" s="24">
        <v>22.0</v>
      </c>
      <c r="C62" s="25" t="s">
        <v>129</v>
      </c>
      <c r="D62" s="26">
        <v>141.0</v>
      </c>
      <c r="H62" s="26">
        <v>142.0</v>
      </c>
      <c r="I62" s="26">
        <v>143.0</v>
      </c>
      <c r="J62" s="26">
        <v>144.0</v>
      </c>
      <c r="K62" s="25">
        <v>145.0</v>
      </c>
      <c r="L62" s="26">
        <v>146.0</v>
      </c>
      <c r="P62" s="26">
        <v>147.0</v>
      </c>
      <c r="Q62" s="26">
        <v>148.0</v>
      </c>
      <c r="R62" s="26">
        <v>149.0</v>
      </c>
      <c r="S62" s="25">
        <v>150.0</v>
      </c>
      <c r="T62" s="26">
        <v>151.0</v>
      </c>
      <c r="X62" s="26">
        <v>152.0</v>
      </c>
      <c r="Y62" s="26">
        <v>153.0</v>
      </c>
      <c r="Z62" s="26">
        <v>154.0</v>
      </c>
      <c r="AA62" s="25">
        <v>155.0</v>
      </c>
      <c r="AB62" s="26">
        <v>156.0</v>
      </c>
      <c r="AF62" s="26">
        <v>157.0</v>
      </c>
      <c r="AG62" s="26">
        <v>158.0</v>
      </c>
      <c r="AH62" s="26">
        <v>159.0</v>
      </c>
      <c r="AI62" s="27">
        <v>160.0</v>
      </c>
    </row>
    <row r="63">
      <c r="B63" s="24">
        <v>23.0</v>
      </c>
      <c r="C63" s="25" t="s">
        <v>129</v>
      </c>
      <c r="D63" s="26">
        <v>161.0</v>
      </c>
      <c r="H63" s="26">
        <v>162.0</v>
      </c>
      <c r="I63" s="26">
        <v>163.0</v>
      </c>
      <c r="J63" s="26">
        <v>164.0</v>
      </c>
      <c r="K63" s="25">
        <v>165.0</v>
      </c>
      <c r="L63" s="26">
        <v>166.0</v>
      </c>
      <c r="P63" s="26">
        <v>167.0</v>
      </c>
      <c r="Q63" s="26">
        <v>168.0</v>
      </c>
      <c r="R63" s="26">
        <v>169.0</v>
      </c>
      <c r="S63" s="25">
        <v>170.0</v>
      </c>
      <c r="T63" s="26">
        <v>171.0</v>
      </c>
      <c r="X63" s="26">
        <v>172.0</v>
      </c>
      <c r="Y63" s="26">
        <v>173.0</v>
      </c>
      <c r="Z63" s="26">
        <v>174.0</v>
      </c>
      <c r="AA63" s="25">
        <v>175.0</v>
      </c>
      <c r="AB63" s="26">
        <v>176.0</v>
      </c>
      <c r="AF63" s="26">
        <v>177.0</v>
      </c>
      <c r="AG63" s="26">
        <v>178.0</v>
      </c>
      <c r="AH63" s="26">
        <v>179.0</v>
      </c>
      <c r="AI63" s="27">
        <v>180.0</v>
      </c>
    </row>
    <row r="64">
      <c r="B64" s="24">
        <v>24.0</v>
      </c>
      <c r="C64" s="25" t="s">
        <v>129</v>
      </c>
      <c r="D64" s="26">
        <v>181.0</v>
      </c>
      <c r="H64" s="26">
        <v>182.0</v>
      </c>
      <c r="K64" s="29"/>
      <c r="L64" s="26">
        <v>183.0</v>
      </c>
      <c r="P64" s="26">
        <v>184.0</v>
      </c>
      <c r="S64" s="29"/>
      <c r="T64" s="26">
        <v>185.0</v>
      </c>
      <c r="X64" s="26">
        <v>186.0</v>
      </c>
      <c r="AA64" s="29"/>
      <c r="AB64" s="26">
        <v>187.0</v>
      </c>
      <c r="AF64" s="26">
        <v>188.0</v>
      </c>
      <c r="AI64" s="45"/>
    </row>
    <row r="65">
      <c r="B65" s="24">
        <v>25.0</v>
      </c>
      <c r="C65" s="25" t="s">
        <v>129</v>
      </c>
      <c r="D65" s="26">
        <v>189.0</v>
      </c>
      <c r="H65" s="26">
        <v>190.0</v>
      </c>
      <c r="I65" s="26">
        <v>191.0</v>
      </c>
      <c r="J65" s="26">
        <v>192.0</v>
      </c>
      <c r="K65" s="29"/>
      <c r="L65" s="26">
        <v>193.0</v>
      </c>
      <c r="P65" s="26">
        <v>194.0</v>
      </c>
      <c r="Q65" s="26">
        <v>195.0</v>
      </c>
      <c r="R65" s="26">
        <v>196.0</v>
      </c>
      <c r="S65" s="29"/>
      <c r="T65" s="26">
        <v>197.0</v>
      </c>
      <c r="X65" s="26">
        <v>198.0</v>
      </c>
      <c r="Y65" s="26">
        <v>199.0</v>
      </c>
      <c r="Z65" s="26">
        <v>200.0</v>
      </c>
      <c r="AA65" s="29"/>
      <c r="AB65" s="26">
        <v>201.0</v>
      </c>
      <c r="AF65" s="26">
        <v>202.0</v>
      </c>
      <c r="AG65" s="26">
        <v>203.0</v>
      </c>
      <c r="AH65" s="26">
        <v>204.0</v>
      </c>
      <c r="AI65" s="45"/>
    </row>
    <row r="66">
      <c r="B66" s="24">
        <v>26.0</v>
      </c>
      <c r="C66" s="25" t="s">
        <v>129</v>
      </c>
      <c r="D66" s="26">
        <v>205.0</v>
      </c>
      <c r="H66" s="26">
        <v>206.0</v>
      </c>
      <c r="I66" s="26">
        <v>207.0</v>
      </c>
      <c r="J66" s="26">
        <v>208.0</v>
      </c>
      <c r="K66" s="29"/>
      <c r="L66" s="26">
        <v>209.0</v>
      </c>
      <c r="P66" s="26">
        <v>210.0</v>
      </c>
      <c r="Q66" s="26">
        <v>211.0</v>
      </c>
      <c r="R66" s="26">
        <v>212.0</v>
      </c>
      <c r="S66" s="29"/>
      <c r="T66" s="26">
        <v>213.0</v>
      </c>
      <c r="X66" s="26">
        <v>214.0</v>
      </c>
      <c r="Y66" s="26">
        <v>215.0</v>
      </c>
      <c r="Z66" s="26">
        <v>216.0</v>
      </c>
      <c r="AA66" s="29"/>
      <c r="AB66" s="26">
        <v>217.0</v>
      </c>
      <c r="AF66" s="26">
        <v>218.0</v>
      </c>
      <c r="AG66" s="26">
        <v>219.0</v>
      </c>
      <c r="AH66" s="26">
        <v>220.0</v>
      </c>
      <c r="AI66" s="45"/>
    </row>
    <row r="67">
      <c r="B67" s="24">
        <v>27.0</v>
      </c>
      <c r="C67" s="25" t="s">
        <v>129</v>
      </c>
      <c r="D67" s="26">
        <v>221.0</v>
      </c>
      <c r="H67" s="26">
        <v>222.0</v>
      </c>
      <c r="I67" s="26">
        <v>223.0</v>
      </c>
      <c r="J67" s="26">
        <v>224.0</v>
      </c>
      <c r="K67" s="29"/>
      <c r="L67" s="26">
        <v>225.0</v>
      </c>
      <c r="P67" s="26">
        <v>226.0</v>
      </c>
      <c r="Q67" s="26">
        <v>227.0</v>
      </c>
      <c r="R67" s="26">
        <v>228.0</v>
      </c>
      <c r="S67" s="29"/>
      <c r="T67" s="26">
        <v>229.0</v>
      </c>
      <c r="X67" s="26">
        <v>230.0</v>
      </c>
      <c r="Y67" s="26">
        <v>231.0</v>
      </c>
      <c r="Z67" s="26">
        <v>232.0</v>
      </c>
      <c r="AA67" s="29"/>
      <c r="AB67" s="26">
        <v>233.0</v>
      </c>
      <c r="AF67" s="26">
        <v>234.0</v>
      </c>
      <c r="AG67" s="26">
        <v>235.0</v>
      </c>
      <c r="AH67" s="26">
        <v>236.0</v>
      </c>
      <c r="AI67" s="45"/>
    </row>
    <row r="68">
      <c r="B68" s="24">
        <v>28.0</v>
      </c>
      <c r="C68" s="25" t="s">
        <v>129</v>
      </c>
      <c r="D68" s="26">
        <v>237.0</v>
      </c>
      <c r="H68" s="26">
        <v>238.0</v>
      </c>
      <c r="I68" s="26">
        <v>239.0</v>
      </c>
      <c r="J68" s="26">
        <v>240.0</v>
      </c>
      <c r="K68" s="29"/>
      <c r="L68" s="26">
        <v>241.0</v>
      </c>
      <c r="P68" s="26">
        <v>242.0</v>
      </c>
      <c r="Q68" s="26">
        <v>243.0</v>
      </c>
      <c r="R68" s="26">
        <v>244.0</v>
      </c>
      <c r="S68" s="29"/>
      <c r="T68" s="26">
        <v>245.0</v>
      </c>
      <c r="X68" s="26">
        <v>246.0</v>
      </c>
      <c r="Y68" s="26">
        <v>247.0</v>
      </c>
      <c r="Z68" s="26">
        <v>248.0</v>
      </c>
      <c r="AA68" s="29"/>
      <c r="AB68" s="26">
        <v>249.0</v>
      </c>
      <c r="AF68" s="26">
        <v>250.0</v>
      </c>
      <c r="AG68" s="26">
        <v>251.0</v>
      </c>
      <c r="AH68" s="26">
        <v>252.0</v>
      </c>
      <c r="AI68" s="45"/>
    </row>
    <row r="69">
      <c r="B69" s="24">
        <v>29.0</v>
      </c>
      <c r="C69" s="25" t="s">
        <v>129</v>
      </c>
      <c r="D69" s="26">
        <v>253.0</v>
      </c>
      <c r="H69" s="26">
        <v>254.0</v>
      </c>
      <c r="I69" s="26">
        <v>255.0</v>
      </c>
      <c r="J69" s="26">
        <v>256.0</v>
      </c>
      <c r="K69" s="25">
        <v>257.0</v>
      </c>
      <c r="L69" s="26">
        <v>258.0</v>
      </c>
      <c r="P69" s="26">
        <v>259.0</v>
      </c>
      <c r="Q69" s="26">
        <v>260.0</v>
      </c>
      <c r="R69" s="26">
        <v>261.0</v>
      </c>
      <c r="S69" s="25">
        <v>262.0</v>
      </c>
      <c r="T69" s="26">
        <v>263.0</v>
      </c>
      <c r="X69" s="26">
        <v>264.0</v>
      </c>
      <c r="Y69" s="26">
        <v>265.0</v>
      </c>
      <c r="Z69" s="26">
        <v>266.0</v>
      </c>
      <c r="AA69" s="25">
        <v>267.0</v>
      </c>
      <c r="AB69" s="26">
        <v>268.0</v>
      </c>
      <c r="AF69" s="26">
        <v>269.0</v>
      </c>
      <c r="AG69" s="26">
        <v>270.0</v>
      </c>
      <c r="AH69" s="26">
        <v>271.0</v>
      </c>
      <c r="AI69" s="27">
        <v>272.0</v>
      </c>
    </row>
    <row r="70">
      <c r="B70" s="24">
        <v>30.0</v>
      </c>
      <c r="C70" s="25" t="s">
        <v>129</v>
      </c>
      <c r="D70" s="26">
        <v>273.0</v>
      </c>
      <c r="H70" s="26">
        <v>274.0</v>
      </c>
      <c r="I70" s="26">
        <v>275.0</v>
      </c>
      <c r="J70" s="26">
        <v>276.0</v>
      </c>
      <c r="K70" s="25">
        <v>277.0</v>
      </c>
      <c r="L70" s="26">
        <v>278.0</v>
      </c>
      <c r="P70" s="26">
        <v>279.0</v>
      </c>
      <c r="Q70" s="26">
        <v>280.0</v>
      </c>
      <c r="R70" s="26">
        <v>281.0</v>
      </c>
      <c r="S70" s="25">
        <v>282.0</v>
      </c>
      <c r="T70" s="26">
        <v>283.0</v>
      </c>
      <c r="X70" s="26">
        <v>284.0</v>
      </c>
      <c r="Y70" s="26">
        <v>285.0</v>
      </c>
      <c r="Z70" s="26">
        <v>286.0</v>
      </c>
      <c r="AA70" s="25">
        <v>287.0</v>
      </c>
      <c r="AB70" s="26">
        <v>288.0</v>
      </c>
      <c r="AF70" s="26">
        <v>289.0</v>
      </c>
      <c r="AG70" s="26">
        <v>290.0</v>
      </c>
      <c r="AH70" s="26">
        <v>291.0</v>
      </c>
      <c r="AI70" s="27">
        <v>292.0</v>
      </c>
    </row>
    <row r="71">
      <c r="B71" s="24">
        <v>31.0</v>
      </c>
      <c r="C71" s="25" t="s">
        <v>129</v>
      </c>
      <c r="D71" s="26">
        <v>293.0</v>
      </c>
      <c r="H71" s="26">
        <v>294.0</v>
      </c>
      <c r="I71" s="26">
        <v>295.0</v>
      </c>
      <c r="J71" s="26">
        <v>296.0</v>
      </c>
      <c r="K71" s="25">
        <v>297.0</v>
      </c>
      <c r="L71" s="26">
        <v>298.0</v>
      </c>
      <c r="P71" s="26">
        <v>299.0</v>
      </c>
      <c r="Q71" s="26">
        <v>300.0</v>
      </c>
      <c r="R71" s="26">
        <v>301.0</v>
      </c>
      <c r="S71" s="25">
        <v>302.0</v>
      </c>
      <c r="T71" s="26">
        <v>303.0</v>
      </c>
      <c r="X71" s="26">
        <v>304.0</v>
      </c>
      <c r="Y71" s="26">
        <v>305.0</v>
      </c>
      <c r="Z71" s="26">
        <v>306.0</v>
      </c>
      <c r="AA71" s="25">
        <v>307.0</v>
      </c>
      <c r="AB71" s="26">
        <v>308.0</v>
      </c>
      <c r="AF71" s="26">
        <v>309.0</v>
      </c>
      <c r="AG71" s="26">
        <v>310.0</v>
      </c>
      <c r="AH71" s="26">
        <v>311.0</v>
      </c>
      <c r="AI71" s="27">
        <v>312.0</v>
      </c>
    </row>
    <row r="72">
      <c r="B72" s="24">
        <v>32.0</v>
      </c>
      <c r="C72" s="25" t="s">
        <v>129</v>
      </c>
      <c r="D72" s="26">
        <v>313.0</v>
      </c>
      <c r="H72" s="26">
        <v>314.0</v>
      </c>
      <c r="I72" s="26">
        <v>315.0</v>
      </c>
      <c r="K72" s="29"/>
      <c r="L72" s="26">
        <v>316.0</v>
      </c>
      <c r="P72" s="26">
        <v>317.0</v>
      </c>
      <c r="Q72" s="26">
        <v>318.0</v>
      </c>
      <c r="S72" s="29"/>
      <c r="T72" s="26">
        <v>319.0</v>
      </c>
      <c r="X72" s="26">
        <v>320.0</v>
      </c>
      <c r="Y72" s="26">
        <v>321.0</v>
      </c>
      <c r="AA72" s="29"/>
      <c r="AB72" s="26">
        <v>322.0</v>
      </c>
      <c r="AF72" s="26">
        <v>323.0</v>
      </c>
      <c r="AG72" s="26">
        <v>324.0</v>
      </c>
      <c r="AI72" s="45"/>
    </row>
    <row r="73">
      <c r="B73" s="24">
        <v>33.0</v>
      </c>
      <c r="C73" s="25" t="s">
        <v>129</v>
      </c>
      <c r="D73" s="26">
        <v>325.0</v>
      </c>
      <c r="H73" s="26">
        <v>326.0</v>
      </c>
      <c r="I73" s="26">
        <v>327.0</v>
      </c>
      <c r="K73" s="29"/>
      <c r="L73" s="26">
        <v>328.0</v>
      </c>
      <c r="P73" s="26">
        <v>329.0</v>
      </c>
      <c r="Q73" s="26">
        <v>330.0</v>
      </c>
      <c r="S73" s="29"/>
      <c r="T73" s="26">
        <v>331.0</v>
      </c>
      <c r="X73" s="26">
        <v>331.0</v>
      </c>
      <c r="Y73" s="26">
        <v>332.0</v>
      </c>
      <c r="AA73" s="29"/>
      <c r="AB73" s="26">
        <v>333.0</v>
      </c>
      <c r="AF73" s="26">
        <v>333.0</v>
      </c>
      <c r="AG73" s="26">
        <v>334.0</v>
      </c>
      <c r="AI73" s="45"/>
    </row>
    <row r="74">
      <c r="B74" s="24">
        <v>34.0</v>
      </c>
      <c r="C74" s="25" t="s">
        <v>129</v>
      </c>
      <c r="D74" s="26">
        <v>335.0</v>
      </c>
      <c r="K74" s="29"/>
      <c r="S74" s="29"/>
      <c r="AA74" s="29"/>
      <c r="AI74" s="45"/>
    </row>
    <row r="75">
      <c r="B75" s="24">
        <v>35.0</v>
      </c>
      <c r="C75" s="25" t="s">
        <v>129</v>
      </c>
      <c r="D75" s="26">
        <v>335.0</v>
      </c>
      <c r="K75" s="29"/>
      <c r="S75" s="29"/>
      <c r="AA75" s="29"/>
      <c r="AI75" s="45"/>
    </row>
    <row r="76">
      <c r="B76" s="24">
        <v>36.0</v>
      </c>
      <c r="C76" s="25" t="s">
        <v>129</v>
      </c>
      <c r="D76" s="26">
        <v>335.0</v>
      </c>
      <c r="K76" s="25"/>
      <c r="S76" s="25"/>
      <c r="AA76" s="29"/>
      <c r="AI76" s="45"/>
    </row>
    <row r="77">
      <c r="B77" s="24">
        <v>37.0</v>
      </c>
      <c r="C77" s="25" t="s">
        <v>48</v>
      </c>
      <c r="D77" s="26">
        <v>336.0</v>
      </c>
      <c r="K77" s="29"/>
      <c r="L77" s="26">
        <v>337.0</v>
      </c>
      <c r="S77" s="29"/>
      <c r="T77" s="26">
        <v>338.0</v>
      </c>
      <c r="AA77" s="29"/>
      <c r="AI77" s="45"/>
    </row>
    <row r="78">
      <c r="B78" s="24">
        <v>38.0</v>
      </c>
      <c r="C78" s="25" t="s">
        <v>142</v>
      </c>
      <c r="D78" s="26">
        <v>339.0</v>
      </c>
      <c r="K78" s="29"/>
      <c r="S78" s="29"/>
      <c r="AA78" s="29"/>
      <c r="AI78" s="45"/>
    </row>
    <row r="79">
      <c r="B79" s="24">
        <v>39.0</v>
      </c>
      <c r="C79" s="25" t="s">
        <v>143</v>
      </c>
      <c r="D79" s="26">
        <v>340.0</v>
      </c>
      <c r="K79" s="29"/>
      <c r="S79" s="29"/>
      <c r="AA79" s="29"/>
      <c r="AI79" s="45"/>
    </row>
    <row r="80">
      <c r="B80" s="24">
        <v>40.0</v>
      </c>
      <c r="C80" s="25" t="s">
        <v>144</v>
      </c>
      <c r="D80" s="26">
        <v>341.0</v>
      </c>
      <c r="K80" s="29"/>
      <c r="S80" s="29"/>
      <c r="AA80" s="29"/>
      <c r="AI80" s="45"/>
    </row>
    <row r="81">
      <c r="B81" s="24">
        <v>41.0</v>
      </c>
      <c r="C81" s="25" t="s">
        <v>145</v>
      </c>
      <c r="D81" s="26">
        <v>342.0</v>
      </c>
      <c r="K81" s="25"/>
      <c r="S81" s="25"/>
      <c r="AA81" s="29"/>
      <c r="AI81" s="45"/>
    </row>
    <row r="82">
      <c r="B82" s="24">
        <v>42.0</v>
      </c>
      <c r="C82" s="25" t="s">
        <v>146</v>
      </c>
      <c r="D82" s="26">
        <v>343.0</v>
      </c>
      <c r="K82" s="25"/>
      <c r="S82" s="25"/>
      <c r="AA82" s="29"/>
      <c r="AI82" s="45"/>
    </row>
    <row r="83">
      <c r="B83" s="24">
        <v>43.0</v>
      </c>
      <c r="C83" s="25" t="s">
        <v>147</v>
      </c>
      <c r="D83" s="26">
        <v>344.0</v>
      </c>
      <c r="K83" s="29"/>
      <c r="S83" s="29"/>
      <c r="AA83" s="29"/>
      <c r="AI83" s="45"/>
    </row>
    <row r="84">
      <c r="B84" s="24">
        <v>44.0</v>
      </c>
      <c r="C84" s="25" t="s">
        <v>148</v>
      </c>
      <c r="D84" s="26">
        <v>345.0</v>
      </c>
      <c r="K84" s="29"/>
      <c r="S84" s="29"/>
      <c r="AA84" s="29"/>
      <c r="AI84" s="45"/>
    </row>
    <row r="85">
      <c r="B85" s="24">
        <v>45.0</v>
      </c>
      <c r="C85" s="25" t="s">
        <v>149</v>
      </c>
      <c r="D85" s="26">
        <v>346.0</v>
      </c>
      <c r="K85" s="29"/>
      <c r="S85" s="29"/>
      <c r="AA85" s="29"/>
      <c r="AI85" s="45"/>
    </row>
    <row r="86">
      <c r="B86" s="38">
        <v>46.0</v>
      </c>
      <c r="C86" s="39" t="s">
        <v>150</v>
      </c>
      <c r="D86" s="40">
        <v>347.0</v>
      </c>
      <c r="E86" s="46"/>
      <c r="F86" s="46"/>
      <c r="G86" s="46"/>
      <c r="H86" s="40">
        <v>348.0</v>
      </c>
      <c r="I86" s="46"/>
      <c r="J86" s="46"/>
      <c r="K86" s="47"/>
      <c r="L86" s="40">
        <v>349.0</v>
      </c>
      <c r="M86" s="46"/>
      <c r="N86" s="46"/>
      <c r="O86" s="46"/>
      <c r="P86" s="40">
        <v>350.0</v>
      </c>
      <c r="Q86" s="46"/>
      <c r="R86" s="46"/>
      <c r="S86" s="47"/>
      <c r="T86" s="46"/>
      <c r="U86" s="46"/>
      <c r="V86" s="46"/>
      <c r="W86" s="46"/>
      <c r="X86" s="46"/>
      <c r="Y86" s="46"/>
      <c r="Z86" s="46"/>
      <c r="AA86" s="47"/>
      <c r="AB86" s="40">
        <v>351.0</v>
      </c>
      <c r="AC86" s="46"/>
      <c r="AD86" s="46"/>
      <c r="AE86" s="46"/>
      <c r="AF86" s="40">
        <v>352.0</v>
      </c>
      <c r="AG86" s="46"/>
      <c r="AH86" s="46"/>
      <c r="AI86" s="48"/>
    </row>
    <row r="87">
      <c r="B87" s="24">
        <v>47.0</v>
      </c>
      <c r="C87" s="25" t="s">
        <v>49</v>
      </c>
      <c r="D87" s="26">
        <v>581.0</v>
      </c>
      <c r="E87" s="26">
        <v>581.0</v>
      </c>
      <c r="F87" s="26">
        <v>581.0</v>
      </c>
      <c r="G87" s="26">
        <v>581.0</v>
      </c>
      <c r="K87" s="25"/>
      <c r="L87" s="26">
        <v>582.0</v>
      </c>
      <c r="M87" s="26">
        <v>582.0</v>
      </c>
      <c r="N87" s="26">
        <v>582.0</v>
      </c>
      <c r="O87" s="26">
        <v>582.0</v>
      </c>
      <c r="S87" s="29"/>
      <c r="T87" s="26">
        <v>583.0</v>
      </c>
      <c r="U87" s="26">
        <v>583.0</v>
      </c>
      <c r="V87" s="26">
        <v>583.0</v>
      </c>
      <c r="W87" s="26">
        <v>583.0</v>
      </c>
      <c r="AA87" s="25"/>
      <c r="AB87" s="26">
        <v>584.0</v>
      </c>
      <c r="AC87" s="26">
        <v>584.0</v>
      </c>
      <c r="AD87" s="26">
        <v>584.0</v>
      </c>
      <c r="AE87" s="26">
        <v>584.0</v>
      </c>
      <c r="AI87" s="45"/>
    </row>
    <row r="88">
      <c r="B88" s="24">
        <v>48.0</v>
      </c>
      <c r="C88" s="25" t="s">
        <v>151</v>
      </c>
      <c r="D88" s="26">
        <v>601.0</v>
      </c>
      <c r="E88" s="26">
        <v>602.0</v>
      </c>
      <c r="F88" s="26">
        <v>603.0</v>
      </c>
      <c r="G88" s="26">
        <v>604.0</v>
      </c>
      <c r="K88" s="29"/>
      <c r="L88" s="26"/>
      <c r="S88" s="29"/>
      <c r="T88" s="26">
        <v>605.0</v>
      </c>
      <c r="U88" s="26">
        <v>605.0</v>
      </c>
      <c r="V88" s="26">
        <v>605.0</v>
      </c>
      <c r="W88" s="26">
        <v>605.0</v>
      </c>
      <c r="AA88" s="29"/>
      <c r="AI88" s="45"/>
    </row>
    <row r="89">
      <c r="B89" s="24">
        <v>49.0</v>
      </c>
      <c r="C89" s="25" t="s">
        <v>152</v>
      </c>
      <c r="D89" s="26">
        <v>606.0</v>
      </c>
      <c r="E89" s="26">
        <v>607.0</v>
      </c>
      <c r="F89" s="26">
        <v>608.0</v>
      </c>
      <c r="G89" s="26">
        <v>609.0</v>
      </c>
      <c r="K89" s="29"/>
      <c r="S89" s="29"/>
      <c r="T89" s="26">
        <v>610.0</v>
      </c>
      <c r="U89" s="26">
        <v>610.0</v>
      </c>
      <c r="V89" s="26">
        <v>610.0</v>
      </c>
      <c r="W89" s="26">
        <v>610.0</v>
      </c>
      <c r="AA89" s="29"/>
      <c r="AI89" s="45"/>
    </row>
    <row r="90">
      <c r="B90" s="24">
        <v>50.0</v>
      </c>
      <c r="C90" s="25" t="s">
        <v>153</v>
      </c>
      <c r="D90" s="26">
        <v>611.0</v>
      </c>
      <c r="E90" s="26">
        <v>612.0</v>
      </c>
      <c r="F90" s="26">
        <v>613.0</v>
      </c>
      <c r="G90" s="26">
        <v>614.0</v>
      </c>
      <c r="K90" s="29"/>
      <c r="L90" s="26">
        <v>615.0</v>
      </c>
      <c r="M90" s="26">
        <v>615.0</v>
      </c>
      <c r="N90" s="26">
        <v>615.0</v>
      </c>
      <c r="O90" s="26">
        <v>615.0</v>
      </c>
      <c r="S90" s="29"/>
      <c r="T90" s="26">
        <v>616.0</v>
      </c>
      <c r="U90" s="26">
        <v>616.0</v>
      </c>
      <c r="V90" s="26">
        <v>616.0</v>
      </c>
      <c r="W90" s="26">
        <v>616.0</v>
      </c>
      <c r="AA90" s="29"/>
      <c r="AI90" s="45"/>
    </row>
    <row r="91">
      <c r="B91" s="24">
        <v>51.0</v>
      </c>
      <c r="C91" s="25" t="s">
        <v>154</v>
      </c>
      <c r="D91" s="26">
        <v>617.0</v>
      </c>
      <c r="E91" s="26">
        <v>618.0</v>
      </c>
      <c r="F91" s="26">
        <v>619.0</v>
      </c>
      <c r="G91" s="26">
        <v>620.0</v>
      </c>
      <c r="K91" s="29"/>
      <c r="L91" s="26">
        <v>621.0</v>
      </c>
      <c r="M91" s="26">
        <v>621.0</v>
      </c>
      <c r="N91" s="26">
        <v>621.0</v>
      </c>
      <c r="O91" s="26">
        <v>621.0</v>
      </c>
      <c r="S91" s="29"/>
      <c r="T91" s="26">
        <v>622.0</v>
      </c>
      <c r="U91" s="26">
        <v>622.0</v>
      </c>
      <c r="V91" s="26">
        <v>622.0</v>
      </c>
      <c r="W91" s="26">
        <v>622.0</v>
      </c>
      <c r="AA91" s="29"/>
      <c r="AI91" s="45"/>
    </row>
    <row r="92">
      <c r="B92" s="24">
        <v>52.0</v>
      </c>
      <c r="C92" s="25" t="s">
        <v>155</v>
      </c>
      <c r="D92" s="26">
        <v>623.0</v>
      </c>
      <c r="E92" s="26">
        <v>624.0</v>
      </c>
      <c r="F92" s="26">
        <v>625.0</v>
      </c>
      <c r="G92" s="26">
        <v>626.0</v>
      </c>
      <c r="K92" s="29"/>
      <c r="L92" s="26">
        <v>627.0</v>
      </c>
      <c r="M92" s="26">
        <v>627.0</v>
      </c>
      <c r="N92" s="26">
        <v>627.0</v>
      </c>
      <c r="O92" s="26">
        <v>627.0</v>
      </c>
      <c r="S92" s="29"/>
      <c r="T92" s="26">
        <v>628.0</v>
      </c>
      <c r="U92" s="26">
        <v>628.0</v>
      </c>
      <c r="V92" s="26">
        <v>628.0</v>
      </c>
      <c r="W92" s="26">
        <v>628.0</v>
      </c>
      <c r="AA92" s="29"/>
      <c r="AB92" s="26">
        <v>629.0</v>
      </c>
      <c r="AC92" s="26">
        <v>629.0</v>
      </c>
      <c r="AD92" s="26">
        <v>629.0</v>
      </c>
      <c r="AE92" s="26">
        <v>629.0</v>
      </c>
      <c r="AI92" s="45"/>
    </row>
    <row r="93">
      <c r="B93" s="24">
        <v>53.0</v>
      </c>
      <c r="C93" s="25" t="s">
        <v>156</v>
      </c>
      <c r="D93" s="26">
        <v>630.0</v>
      </c>
      <c r="E93" s="26">
        <v>631.0</v>
      </c>
      <c r="F93" s="26">
        <v>632.0</v>
      </c>
      <c r="G93" s="26">
        <v>633.0</v>
      </c>
      <c r="K93" s="29"/>
      <c r="L93" s="26">
        <v>634.0</v>
      </c>
      <c r="M93" s="26">
        <v>634.0</v>
      </c>
      <c r="N93" s="26">
        <v>634.0</v>
      </c>
      <c r="O93" s="26">
        <v>634.0</v>
      </c>
      <c r="S93" s="29"/>
      <c r="T93" s="26">
        <v>635.0</v>
      </c>
      <c r="U93" s="26">
        <v>635.0</v>
      </c>
      <c r="V93" s="26">
        <v>635.0</v>
      </c>
      <c r="W93" s="26">
        <v>635.0</v>
      </c>
      <c r="AA93" s="29"/>
      <c r="AI93" s="45"/>
    </row>
    <row r="94">
      <c r="B94" s="24">
        <v>54.0</v>
      </c>
      <c r="C94" s="25" t="s">
        <v>53</v>
      </c>
      <c r="D94" s="26">
        <v>636.0</v>
      </c>
      <c r="E94" s="26">
        <v>637.0</v>
      </c>
      <c r="F94" s="26">
        <v>638.0</v>
      </c>
      <c r="G94" s="26">
        <v>639.0</v>
      </c>
      <c r="K94" s="29"/>
      <c r="L94" s="26">
        <v>640.0</v>
      </c>
      <c r="M94" s="26">
        <v>640.0</v>
      </c>
      <c r="N94" s="26">
        <v>640.0</v>
      </c>
      <c r="O94" s="26">
        <v>640.0</v>
      </c>
      <c r="S94" s="29"/>
      <c r="T94" s="26">
        <v>641.0</v>
      </c>
      <c r="U94" s="26">
        <v>641.0</v>
      </c>
      <c r="V94" s="26">
        <v>641.0</v>
      </c>
      <c r="W94" s="26">
        <v>641.0</v>
      </c>
      <c r="AA94" s="29"/>
      <c r="AB94" s="26">
        <v>642.0</v>
      </c>
      <c r="AC94" s="26">
        <v>642.0</v>
      </c>
      <c r="AD94" s="26">
        <v>642.0</v>
      </c>
      <c r="AE94" s="26">
        <v>642.0</v>
      </c>
      <c r="AI94" s="45"/>
    </row>
    <row r="95">
      <c r="B95" s="24">
        <v>55.0</v>
      </c>
      <c r="C95" s="25" t="s">
        <v>157</v>
      </c>
      <c r="D95" s="26">
        <v>643.0</v>
      </c>
      <c r="E95" s="26">
        <v>644.0</v>
      </c>
      <c r="F95" s="26">
        <v>645.0</v>
      </c>
      <c r="G95" s="26">
        <v>646.0</v>
      </c>
      <c r="K95" s="29"/>
      <c r="L95" s="26">
        <v>647.0</v>
      </c>
      <c r="M95" s="26">
        <v>647.0</v>
      </c>
      <c r="N95" s="26">
        <v>647.0</v>
      </c>
      <c r="O95" s="26">
        <v>647.0</v>
      </c>
      <c r="S95" s="29"/>
      <c r="T95" s="26">
        <v>648.0</v>
      </c>
      <c r="U95" s="26">
        <v>648.0</v>
      </c>
      <c r="V95" s="26">
        <v>648.0</v>
      </c>
      <c r="W95" s="26">
        <v>648.0</v>
      </c>
      <c r="AA95" s="29"/>
      <c r="AB95" s="26">
        <v>649.0</v>
      </c>
      <c r="AC95" s="26">
        <v>649.0</v>
      </c>
      <c r="AD95" s="26">
        <v>649.0</v>
      </c>
      <c r="AE95" s="26">
        <v>649.0</v>
      </c>
      <c r="AI95" s="45"/>
    </row>
    <row r="96">
      <c r="B96" s="24">
        <v>56.0</v>
      </c>
      <c r="C96" s="25" t="s">
        <v>55</v>
      </c>
      <c r="D96" s="26">
        <v>650.0</v>
      </c>
      <c r="K96" s="29"/>
      <c r="S96" s="29"/>
      <c r="AA96" s="29"/>
      <c r="AI96" s="45"/>
    </row>
    <row r="97">
      <c r="B97" s="24">
        <v>57.0</v>
      </c>
      <c r="C97" s="25" t="s">
        <v>56</v>
      </c>
      <c r="D97" s="26">
        <v>651.0</v>
      </c>
      <c r="K97" s="25"/>
      <c r="S97" s="25"/>
      <c r="AA97" s="29"/>
      <c r="AI97" s="45"/>
    </row>
    <row r="98">
      <c r="B98" s="24">
        <v>58.0</v>
      </c>
      <c r="C98" s="25" t="s">
        <v>57</v>
      </c>
      <c r="D98" s="26">
        <v>652.0</v>
      </c>
      <c r="E98" s="26">
        <v>653.0</v>
      </c>
      <c r="F98" s="26">
        <v>654.0</v>
      </c>
      <c r="G98" s="26">
        <v>655.0</v>
      </c>
      <c r="K98" s="29"/>
      <c r="L98" s="26">
        <v>656.0</v>
      </c>
      <c r="M98" s="26">
        <v>656.0</v>
      </c>
      <c r="N98" s="26">
        <v>656.0</v>
      </c>
      <c r="O98" s="26">
        <v>656.0</v>
      </c>
      <c r="S98" s="29"/>
      <c r="T98" s="26">
        <v>657.0</v>
      </c>
      <c r="U98" s="26">
        <v>657.0</v>
      </c>
      <c r="V98" s="26">
        <v>657.0</v>
      </c>
      <c r="W98" s="26">
        <v>657.0</v>
      </c>
      <c r="AA98" s="29"/>
      <c r="AB98" s="26">
        <v>658.0</v>
      </c>
      <c r="AC98" s="26">
        <v>658.0</v>
      </c>
      <c r="AD98" s="26">
        <v>658.0</v>
      </c>
      <c r="AE98" s="26">
        <v>658.0</v>
      </c>
      <c r="AI98" s="45"/>
    </row>
    <row r="99">
      <c r="B99" s="24">
        <v>59.0</v>
      </c>
      <c r="C99" s="25" t="s">
        <v>158</v>
      </c>
      <c r="D99" s="26">
        <v>659.0</v>
      </c>
      <c r="E99" s="26">
        <v>660.0</v>
      </c>
      <c r="F99" s="26">
        <v>661.0</v>
      </c>
      <c r="G99" s="26">
        <v>662.0</v>
      </c>
      <c r="K99" s="29"/>
      <c r="S99" s="29"/>
      <c r="AA99" s="29"/>
      <c r="AI99" s="45"/>
    </row>
    <row r="100">
      <c r="B100" s="24">
        <v>60.0</v>
      </c>
      <c r="C100" s="25" t="s">
        <v>159</v>
      </c>
      <c r="D100" s="26">
        <v>663.0</v>
      </c>
      <c r="E100" s="26">
        <v>664.0</v>
      </c>
      <c r="F100" s="26">
        <v>665.0</v>
      </c>
      <c r="G100" s="26">
        <v>666.0</v>
      </c>
      <c r="K100" s="29"/>
      <c r="S100" s="29"/>
      <c r="AA100" s="29"/>
      <c r="AI100" s="45"/>
    </row>
    <row r="101">
      <c r="B101" s="24">
        <v>61.0</v>
      </c>
      <c r="C101" s="25" t="s">
        <v>160</v>
      </c>
      <c r="D101" s="26">
        <v>667.0</v>
      </c>
      <c r="E101" s="26">
        <v>668.0</v>
      </c>
      <c r="F101" s="26">
        <v>669.0</v>
      </c>
      <c r="G101" s="26">
        <v>670.0</v>
      </c>
      <c r="K101" s="29"/>
      <c r="S101" s="29"/>
      <c r="T101" s="26">
        <v>671.0</v>
      </c>
      <c r="U101" s="26">
        <v>671.0</v>
      </c>
      <c r="V101" s="26">
        <v>671.0</v>
      </c>
      <c r="W101" s="26">
        <v>671.0</v>
      </c>
      <c r="AA101" s="29"/>
      <c r="AI101" s="45"/>
    </row>
    <row r="102">
      <c r="B102" s="24">
        <v>62.0</v>
      </c>
      <c r="C102" s="25" t="s">
        <v>61</v>
      </c>
      <c r="D102" s="26">
        <v>672.0</v>
      </c>
      <c r="E102" s="26">
        <v>673.0</v>
      </c>
      <c r="F102" s="26">
        <v>674.0</v>
      </c>
      <c r="G102" s="26">
        <v>675.0</v>
      </c>
      <c r="K102" s="29"/>
      <c r="S102" s="29"/>
      <c r="T102" s="26">
        <v>676.0</v>
      </c>
      <c r="U102" s="26">
        <v>676.0</v>
      </c>
      <c r="V102" s="26">
        <v>676.0</v>
      </c>
      <c r="W102" s="26">
        <v>676.0</v>
      </c>
      <c r="AA102" s="29"/>
      <c r="AI102" s="45"/>
    </row>
    <row r="103">
      <c r="B103" s="24">
        <v>63.0</v>
      </c>
      <c r="C103" s="25" t="s">
        <v>62</v>
      </c>
      <c r="D103" s="26">
        <v>677.0</v>
      </c>
      <c r="E103" s="26">
        <v>678.0</v>
      </c>
      <c r="F103" s="26">
        <v>679.0</v>
      </c>
      <c r="G103" s="26">
        <v>680.0</v>
      </c>
      <c r="K103" s="29"/>
      <c r="S103" s="29"/>
      <c r="T103" s="26">
        <v>681.0</v>
      </c>
      <c r="U103" s="26">
        <v>681.0</v>
      </c>
      <c r="V103" s="26">
        <v>681.0</v>
      </c>
      <c r="W103" s="26">
        <v>681.0</v>
      </c>
      <c r="AA103" s="29"/>
      <c r="AI103" s="45"/>
    </row>
    <row r="104">
      <c r="B104" s="24">
        <v>64.0</v>
      </c>
      <c r="C104" s="25" t="s">
        <v>161</v>
      </c>
      <c r="D104" s="26">
        <v>682.0</v>
      </c>
      <c r="E104" s="26">
        <v>682.0</v>
      </c>
      <c r="F104" s="26">
        <v>682.0</v>
      </c>
      <c r="G104" s="26">
        <v>682.0</v>
      </c>
      <c r="K104" s="29"/>
      <c r="S104" s="29"/>
      <c r="T104" s="26">
        <v>683.0</v>
      </c>
      <c r="U104" s="26">
        <v>683.0</v>
      </c>
      <c r="V104" s="26">
        <v>683.0</v>
      </c>
      <c r="W104" s="26">
        <v>683.0</v>
      </c>
      <c r="AA104" s="29"/>
      <c r="AI104" s="45"/>
    </row>
    <row r="105">
      <c r="B105" s="24">
        <v>65.0</v>
      </c>
      <c r="C105" s="25" t="s">
        <v>63</v>
      </c>
      <c r="D105" s="26">
        <v>684.0</v>
      </c>
      <c r="E105" s="26">
        <v>684.0</v>
      </c>
      <c r="F105" s="26">
        <v>684.0</v>
      </c>
      <c r="G105" s="26">
        <v>684.0</v>
      </c>
      <c r="K105" s="29"/>
      <c r="L105" s="26">
        <v>685.0</v>
      </c>
      <c r="M105" s="26">
        <v>685.0</v>
      </c>
      <c r="N105" s="26">
        <v>685.0</v>
      </c>
      <c r="O105" s="26">
        <v>685.0</v>
      </c>
      <c r="S105" s="29"/>
      <c r="T105" s="26">
        <v>686.0</v>
      </c>
      <c r="U105" s="26">
        <v>686.0</v>
      </c>
      <c r="V105" s="26">
        <v>686.0</v>
      </c>
      <c r="W105" s="26">
        <v>686.0</v>
      </c>
      <c r="AA105" s="29"/>
      <c r="AI105" s="45"/>
    </row>
    <row r="106">
      <c r="B106" s="24">
        <v>66.0</v>
      </c>
      <c r="C106" s="25" t="s">
        <v>64</v>
      </c>
      <c r="D106" s="26">
        <v>687.0</v>
      </c>
      <c r="E106" s="26">
        <v>687.0</v>
      </c>
      <c r="F106" s="26">
        <v>687.0</v>
      </c>
      <c r="G106" s="26">
        <v>687.0</v>
      </c>
      <c r="K106" s="29"/>
      <c r="L106" s="26">
        <v>685.0</v>
      </c>
      <c r="M106" s="26">
        <v>685.0</v>
      </c>
      <c r="N106" s="26">
        <v>685.0</v>
      </c>
      <c r="O106" s="26">
        <v>685.0</v>
      </c>
      <c r="S106" s="29"/>
      <c r="T106" s="26">
        <v>686.0</v>
      </c>
      <c r="U106" s="26">
        <v>686.0</v>
      </c>
      <c r="V106" s="26">
        <v>686.0</v>
      </c>
      <c r="W106" s="26">
        <v>686.0</v>
      </c>
      <c r="AA106" s="29"/>
      <c r="AI106" s="45"/>
    </row>
    <row r="107">
      <c r="B107" s="24">
        <v>67.0</v>
      </c>
      <c r="C107" s="25" t="s">
        <v>65</v>
      </c>
      <c r="D107" s="26">
        <v>688.0</v>
      </c>
      <c r="E107" s="26">
        <v>688.0</v>
      </c>
      <c r="F107" s="26">
        <v>688.0</v>
      </c>
      <c r="G107" s="26">
        <v>688.0</v>
      </c>
      <c r="K107" s="29"/>
      <c r="L107" s="26">
        <v>685.0</v>
      </c>
      <c r="M107" s="26">
        <v>685.0</v>
      </c>
      <c r="N107" s="26">
        <v>685.0</v>
      </c>
      <c r="O107" s="26">
        <v>685.0</v>
      </c>
      <c r="S107" s="29"/>
      <c r="T107" s="26">
        <v>686.0</v>
      </c>
      <c r="U107" s="26">
        <v>686.0</v>
      </c>
      <c r="V107" s="26">
        <v>686.0</v>
      </c>
      <c r="W107" s="26">
        <v>686.0</v>
      </c>
      <c r="AA107" s="29"/>
      <c r="AI107" s="45"/>
    </row>
    <row r="108">
      <c r="B108" s="24">
        <v>68.0</v>
      </c>
      <c r="C108" s="25" t="s">
        <v>162</v>
      </c>
      <c r="D108" s="26">
        <v>595.0</v>
      </c>
      <c r="E108" s="26">
        <v>596.0</v>
      </c>
      <c r="F108" s="26">
        <v>597.0</v>
      </c>
      <c r="G108" s="26">
        <v>598.0</v>
      </c>
      <c r="K108" s="29"/>
      <c r="L108" s="26">
        <v>599.0</v>
      </c>
      <c r="M108" s="26">
        <v>599.0</v>
      </c>
      <c r="N108" s="26">
        <v>599.0</v>
      </c>
      <c r="O108" s="26">
        <v>599.0</v>
      </c>
      <c r="S108" s="29"/>
      <c r="T108" s="26">
        <v>600.0</v>
      </c>
      <c r="U108" s="26">
        <v>600.0</v>
      </c>
      <c r="V108" s="26">
        <v>600.0</v>
      </c>
      <c r="W108" s="26">
        <v>600.0</v>
      </c>
      <c r="AA108" s="29"/>
      <c r="AI108" s="45"/>
    </row>
    <row r="109">
      <c r="B109" s="24">
        <v>69.0</v>
      </c>
      <c r="C109" s="25" t="s">
        <v>67</v>
      </c>
      <c r="D109" s="26">
        <v>694.0</v>
      </c>
      <c r="E109" s="26">
        <v>695.0</v>
      </c>
      <c r="F109" s="26">
        <v>696.0</v>
      </c>
      <c r="G109" s="26">
        <v>697.0</v>
      </c>
      <c r="K109" s="29"/>
      <c r="L109" s="26">
        <v>698.0</v>
      </c>
      <c r="M109" s="26">
        <v>698.0</v>
      </c>
      <c r="N109" s="26">
        <v>698.0</v>
      </c>
      <c r="O109" s="26">
        <v>698.0</v>
      </c>
      <c r="S109" s="29"/>
      <c r="T109" s="26">
        <v>699.0</v>
      </c>
      <c r="U109" s="26">
        <v>699.0</v>
      </c>
      <c r="V109" s="26">
        <v>699.0</v>
      </c>
      <c r="W109" s="26">
        <v>699.0</v>
      </c>
      <c r="AA109" s="29"/>
      <c r="AI109" s="45"/>
    </row>
    <row r="110">
      <c r="B110" s="24">
        <v>70.0</v>
      </c>
      <c r="C110" s="25" t="s">
        <v>68</v>
      </c>
      <c r="D110" s="26">
        <v>700.0</v>
      </c>
      <c r="E110" s="26">
        <v>701.0</v>
      </c>
      <c r="F110" s="26">
        <v>702.0</v>
      </c>
      <c r="G110" s="26">
        <v>703.0</v>
      </c>
      <c r="K110" s="29"/>
      <c r="L110" s="26">
        <v>704.0</v>
      </c>
      <c r="M110" s="26">
        <v>704.0</v>
      </c>
      <c r="N110" s="26">
        <v>704.0</v>
      </c>
      <c r="O110" s="26">
        <v>704.0</v>
      </c>
      <c r="S110" s="29"/>
      <c r="T110" s="26">
        <v>705.0</v>
      </c>
      <c r="U110" s="26">
        <v>705.0</v>
      </c>
      <c r="V110" s="26">
        <v>705.0</v>
      </c>
      <c r="W110" s="26">
        <v>705.0</v>
      </c>
      <c r="AA110" s="29"/>
      <c r="AI110" s="45"/>
    </row>
    <row r="111">
      <c r="B111" s="24">
        <v>71.0</v>
      </c>
      <c r="C111" s="25" t="s">
        <v>69</v>
      </c>
      <c r="D111" s="26">
        <v>706.0</v>
      </c>
      <c r="K111" s="29"/>
      <c r="S111" s="29"/>
      <c r="AA111" s="29"/>
      <c r="AI111" s="45"/>
    </row>
    <row r="112">
      <c r="B112" s="24">
        <v>72.0</v>
      </c>
      <c r="C112" s="25" t="s">
        <v>70</v>
      </c>
      <c r="D112" s="26">
        <v>707.0</v>
      </c>
      <c r="K112" s="29"/>
      <c r="S112" s="29"/>
      <c r="T112" s="26">
        <v>712.0</v>
      </c>
      <c r="AA112" s="29"/>
      <c r="AI112" s="45"/>
    </row>
    <row r="113">
      <c r="B113" s="24">
        <v>73.0</v>
      </c>
      <c r="C113" s="25" t="s">
        <v>71</v>
      </c>
      <c r="D113" s="26">
        <v>713.0</v>
      </c>
      <c r="K113" s="29"/>
      <c r="S113" s="29"/>
      <c r="AA113" s="29"/>
      <c r="AI113" s="45"/>
    </row>
    <row r="114">
      <c r="B114" s="24">
        <v>74.0</v>
      </c>
      <c r="C114" s="25" t="s">
        <v>72</v>
      </c>
      <c r="D114" s="26">
        <v>714.0</v>
      </c>
      <c r="K114" s="29"/>
      <c r="S114" s="29"/>
      <c r="AA114" s="29"/>
      <c r="AI114" s="45"/>
    </row>
    <row r="115">
      <c r="B115" s="24">
        <v>75.0</v>
      </c>
      <c r="C115" s="25" t="s">
        <v>163</v>
      </c>
      <c r="D115" s="26">
        <v>715.0</v>
      </c>
      <c r="K115" s="29"/>
      <c r="L115" s="26">
        <v>716.0</v>
      </c>
      <c r="S115" s="29"/>
      <c r="AA115" s="29"/>
      <c r="AI115" s="45"/>
    </row>
    <row r="116">
      <c r="B116" s="24">
        <v>76.0</v>
      </c>
      <c r="C116" s="25" t="s">
        <v>164</v>
      </c>
      <c r="D116" s="26">
        <v>717.0</v>
      </c>
      <c r="K116" s="29"/>
      <c r="L116" s="26">
        <v>716.0</v>
      </c>
      <c r="S116" s="29"/>
      <c r="AA116" s="29"/>
      <c r="AI116" s="45"/>
    </row>
    <row r="117">
      <c r="B117" s="24">
        <v>77.0</v>
      </c>
      <c r="C117" s="25" t="s">
        <v>74</v>
      </c>
      <c r="D117" s="26">
        <v>718.0</v>
      </c>
      <c r="K117" s="29"/>
      <c r="L117" s="26">
        <v>719.0</v>
      </c>
      <c r="S117" s="29"/>
      <c r="AA117" s="29"/>
      <c r="AI117" s="45"/>
    </row>
    <row r="118">
      <c r="B118" s="24">
        <v>78.0</v>
      </c>
      <c r="C118" s="25" t="s">
        <v>165</v>
      </c>
      <c r="D118" s="26">
        <v>720.0</v>
      </c>
      <c r="E118" s="26">
        <v>721.0</v>
      </c>
      <c r="F118" s="26">
        <v>722.0</v>
      </c>
      <c r="G118" s="26">
        <v>723.0</v>
      </c>
      <c r="K118" s="29"/>
      <c r="L118" s="26">
        <v>724.0</v>
      </c>
      <c r="M118" s="26">
        <v>724.0</v>
      </c>
      <c r="N118" s="26">
        <v>724.0</v>
      </c>
      <c r="O118" s="26">
        <v>724.0</v>
      </c>
      <c r="S118" s="29"/>
      <c r="AA118" s="29"/>
      <c r="AI118" s="45"/>
    </row>
    <row r="119">
      <c r="B119" s="24">
        <v>79.0</v>
      </c>
      <c r="C119" s="25" t="s">
        <v>76</v>
      </c>
      <c r="D119" s="26">
        <v>725.0</v>
      </c>
      <c r="E119" s="26"/>
      <c r="K119" s="29"/>
      <c r="L119" s="26">
        <v>726.0</v>
      </c>
      <c r="S119" s="29"/>
      <c r="T119" s="26">
        <v>727.0</v>
      </c>
      <c r="AA119" s="29"/>
      <c r="AI119" s="45"/>
    </row>
    <row r="120">
      <c r="B120" s="24">
        <v>80.0</v>
      </c>
      <c r="C120" s="25" t="s">
        <v>166</v>
      </c>
      <c r="D120" s="26">
        <v>728.0</v>
      </c>
      <c r="K120" s="29"/>
      <c r="L120" s="26">
        <v>729.0</v>
      </c>
      <c r="S120" s="29"/>
      <c r="AA120" s="29"/>
      <c r="AI120" s="45"/>
    </row>
    <row r="121">
      <c r="B121" s="24">
        <v>81.0</v>
      </c>
      <c r="C121" s="25" t="s">
        <v>77</v>
      </c>
      <c r="D121" s="26">
        <v>730.0</v>
      </c>
      <c r="K121" s="29"/>
      <c r="L121" s="26">
        <v>731.0</v>
      </c>
      <c r="S121" s="29"/>
      <c r="T121" s="26">
        <v>732.0</v>
      </c>
      <c r="AA121" s="29"/>
      <c r="AI121" s="45"/>
    </row>
    <row r="122">
      <c r="B122" s="24">
        <v>82.0</v>
      </c>
      <c r="C122" s="25" t="s">
        <v>78</v>
      </c>
      <c r="D122" s="26">
        <v>733.0</v>
      </c>
      <c r="K122" s="29"/>
      <c r="S122" s="29"/>
      <c r="AA122" s="29"/>
      <c r="AI122" s="45"/>
    </row>
    <row r="123">
      <c r="B123" s="24">
        <v>83.0</v>
      </c>
      <c r="C123" s="25" t="s">
        <v>79</v>
      </c>
      <c r="D123" s="26">
        <v>734.0</v>
      </c>
      <c r="E123" s="26">
        <v>735.0</v>
      </c>
      <c r="F123" s="26">
        <v>736.0</v>
      </c>
      <c r="G123" s="26">
        <v>737.0</v>
      </c>
      <c r="K123" s="29"/>
      <c r="L123" s="26">
        <v>738.0</v>
      </c>
      <c r="M123" s="26">
        <v>738.0</v>
      </c>
      <c r="N123" s="26">
        <v>738.0</v>
      </c>
      <c r="O123" s="26">
        <v>738.0</v>
      </c>
      <c r="S123" s="29"/>
      <c r="T123" s="26">
        <v>739.0</v>
      </c>
      <c r="U123" s="26">
        <v>739.0</v>
      </c>
      <c r="V123" s="26">
        <v>739.0</v>
      </c>
      <c r="W123" s="26">
        <v>739.0</v>
      </c>
      <c r="AA123" s="29"/>
      <c r="AB123" s="26">
        <v>740.0</v>
      </c>
      <c r="AC123" s="26">
        <v>740.0</v>
      </c>
      <c r="AD123" s="26">
        <v>740.0</v>
      </c>
      <c r="AE123" s="26">
        <v>740.0</v>
      </c>
      <c r="AI123" s="45"/>
    </row>
    <row r="124">
      <c r="B124" s="24">
        <v>84.0</v>
      </c>
      <c r="C124" s="25" t="s">
        <v>80</v>
      </c>
      <c r="D124" s="26">
        <v>741.0</v>
      </c>
      <c r="E124" s="26">
        <v>742.0</v>
      </c>
      <c r="F124" s="26">
        <v>743.0</v>
      </c>
      <c r="G124" s="26">
        <v>744.0</v>
      </c>
      <c r="K124" s="29"/>
      <c r="L124" s="26">
        <v>738.0</v>
      </c>
      <c r="M124" s="26">
        <v>738.0</v>
      </c>
      <c r="N124" s="26">
        <v>738.0</v>
      </c>
      <c r="O124" s="26">
        <v>738.0</v>
      </c>
      <c r="S124" s="29"/>
      <c r="T124" s="26">
        <v>739.0</v>
      </c>
      <c r="U124" s="26">
        <v>739.0</v>
      </c>
      <c r="V124" s="26">
        <v>739.0</v>
      </c>
      <c r="W124" s="26">
        <v>739.0</v>
      </c>
      <c r="AA124" s="29"/>
      <c r="AB124" s="26">
        <v>740.0</v>
      </c>
      <c r="AC124" s="26">
        <v>740.0</v>
      </c>
      <c r="AD124" s="26">
        <v>740.0</v>
      </c>
      <c r="AE124" s="26">
        <v>740.0</v>
      </c>
      <c r="AI124" s="45"/>
    </row>
    <row r="125">
      <c r="B125" s="24">
        <v>85.0</v>
      </c>
      <c r="C125" s="25" t="s">
        <v>81</v>
      </c>
      <c r="D125" s="26">
        <v>745.0</v>
      </c>
      <c r="E125" s="26">
        <v>746.0</v>
      </c>
      <c r="F125" s="26">
        <v>747.0</v>
      </c>
      <c r="G125" s="26">
        <v>748.0</v>
      </c>
      <c r="K125" s="29"/>
      <c r="L125" s="26">
        <v>738.0</v>
      </c>
      <c r="M125" s="26">
        <v>738.0</v>
      </c>
      <c r="N125" s="26">
        <v>738.0</v>
      </c>
      <c r="O125" s="26">
        <v>738.0</v>
      </c>
      <c r="S125" s="29"/>
      <c r="T125" s="26">
        <v>739.0</v>
      </c>
      <c r="U125" s="26">
        <v>739.0</v>
      </c>
      <c r="V125" s="26">
        <v>739.0</v>
      </c>
      <c r="W125" s="26">
        <v>739.0</v>
      </c>
      <c r="AA125" s="29"/>
      <c r="AB125" s="26">
        <v>740.0</v>
      </c>
      <c r="AC125" s="26">
        <v>740.0</v>
      </c>
      <c r="AD125" s="26">
        <v>740.0</v>
      </c>
      <c r="AE125" s="26">
        <v>740.0</v>
      </c>
      <c r="AI125" s="45"/>
    </row>
    <row r="126">
      <c r="B126" s="24">
        <v>86.0</v>
      </c>
      <c r="C126" s="25" t="s">
        <v>82</v>
      </c>
      <c r="D126" s="26">
        <v>749.0</v>
      </c>
      <c r="E126" s="26">
        <v>750.0</v>
      </c>
      <c r="F126" s="26">
        <v>751.0</v>
      </c>
      <c r="G126" s="26">
        <v>752.0</v>
      </c>
      <c r="K126" s="29"/>
      <c r="L126" s="26">
        <v>753.0</v>
      </c>
      <c r="M126" s="26">
        <v>753.0</v>
      </c>
      <c r="N126" s="26">
        <v>753.0</v>
      </c>
      <c r="O126" s="26">
        <v>753.0</v>
      </c>
      <c r="S126" s="29"/>
      <c r="T126" s="26">
        <v>754.0</v>
      </c>
      <c r="U126" s="26">
        <v>754.0</v>
      </c>
      <c r="V126" s="26">
        <v>754.0</v>
      </c>
      <c r="W126" s="26">
        <v>754.0</v>
      </c>
      <c r="AA126" s="29"/>
      <c r="AB126" s="26">
        <v>755.0</v>
      </c>
      <c r="AC126" s="26">
        <v>755.0</v>
      </c>
      <c r="AD126" s="26">
        <v>755.0</v>
      </c>
      <c r="AE126" s="26">
        <v>755.0</v>
      </c>
      <c r="AI126" s="45"/>
    </row>
    <row r="127">
      <c r="B127" s="24">
        <v>87.0</v>
      </c>
      <c r="C127" s="25" t="s">
        <v>83</v>
      </c>
      <c r="D127" s="26">
        <v>756.0</v>
      </c>
      <c r="K127" s="29"/>
      <c r="L127" s="26">
        <v>757.0</v>
      </c>
      <c r="S127" s="29"/>
      <c r="AA127" s="29"/>
      <c r="AI127" s="45"/>
    </row>
    <row r="128">
      <c r="B128" s="24">
        <v>88.0</v>
      </c>
      <c r="C128" s="25" t="s">
        <v>167</v>
      </c>
      <c r="D128" s="26">
        <v>758.0</v>
      </c>
      <c r="K128" s="29"/>
      <c r="L128" s="26">
        <v>759.0</v>
      </c>
      <c r="S128" s="29"/>
      <c r="T128" s="26">
        <v>760.0</v>
      </c>
      <c r="AA128" s="29"/>
      <c r="AI128" s="45"/>
    </row>
    <row r="129">
      <c r="B129" s="24">
        <v>89.0</v>
      </c>
      <c r="C129" s="25" t="s">
        <v>168</v>
      </c>
      <c r="D129" s="26">
        <v>761.0</v>
      </c>
      <c r="K129" s="29"/>
      <c r="S129" s="29"/>
      <c r="AA129" s="29"/>
      <c r="AI129" s="45"/>
    </row>
    <row r="130">
      <c r="B130" s="24">
        <v>90.0</v>
      </c>
      <c r="C130" s="25" t="s">
        <v>169</v>
      </c>
      <c r="D130" s="26">
        <v>762.0</v>
      </c>
      <c r="K130" s="29"/>
      <c r="S130" s="29"/>
      <c r="AA130" s="29"/>
      <c r="AI130" s="45"/>
    </row>
    <row r="131">
      <c r="B131" s="24">
        <v>91.0</v>
      </c>
      <c r="C131" s="25" t="s">
        <v>87</v>
      </c>
      <c r="D131" s="26">
        <v>763.0</v>
      </c>
      <c r="K131" s="29"/>
      <c r="L131" s="26">
        <v>764.0</v>
      </c>
      <c r="S131" s="29"/>
      <c r="T131" s="26">
        <v>765.0</v>
      </c>
      <c r="AA131" s="29"/>
      <c r="AB131" s="26">
        <v>766.0</v>
      </c>
      <c r="AI131" s="45"/>
    </row>
    <row r="132">
      <c r="B132" s="24">
        <v>92.0</v>
      </c>
      <c r="C132" s="25" t="s">
        <v>88</v>
      </c>
      <c r="D132" s="26">
        <v>767.0</v>
      </c>
      <c r="K132" s="29"/>
      <c r="L132" s="26">
        <v>768.0</v>
      </c>
      <c r="S132" s="29"/>
      <c r="T132" s="26">
        <v>769.0</v>
      </c>
      <c r="AA132" s="29"/>
      <c r="AB132" s="26">
        <v>770.0</v>
      </c>
      <c r="AI132" s="45"/>
    </row>
    <row r="133">
      <c r="B133" s="24">
        <v>93.0</v>
      </c>
      <c r="C133" s="25" t="s">
        <v>89</v>
      </c>
      <c r="D133" s="26">
        <v>771.0</v>
      </c>
      <c r="K133" s="29"/>
      <c r="L133" s="26">
        <v>772.0</v>
      </c>
      <c r="S133" s="29"/>
      <c r="T133" s="26">
        <v>773.0</v>
      </c>
      <c r="AA133" s="29"/>
      <c r="AB133" s="26">
        <v>774.0</v>
      </c>
      <c r="AI133" s="45"/>
    </row>
    <row r="134">
      <c r="B134" s="24">
        <v>94.0</v>
      </c>
      <c r="C134" s="25" t="s">
        <v>170</v>
      </c>
      <c r="D134" s="26">
        <v>771.0</v>
      </c>
      <c r="K134" s="29"/>
      <c r="L134" s="26">
        <v>772.0</v>
      </c>
      <c r="S134" s="29"/>
      <c r="T134" s="26">
        <v>773.0</v>
      </c>
      <c r="AA134" s="29"/>
      <c r="AB134" s="26">
        <v>774.0</v>
      </c>
      <c r="AI134" s="45"/>
    </row>
    <row r="135">
      <c r="B135" s="24">
        <v>95.0</v>
      </c>
      <c r="C135" s="25" t="s">
        <v>171</v>
      </c>
      <c r="D135" s="26">
        <v>775.0</v>
      </c>
      <c r="E135" s="26">
        <v>776.0</v>
      </c>
      <c r="F135" s="26">
        <v>777.0</v>
      </c>
      <c r="G135" s="26">
        <v>778.0</v>
      </c>
      <c r="K135" s="29"/>
      <c r="L135" s="26">
        <v>779.0</v>
      </c>
      <c r="M135" s="26">
        <v>779.0</v>
      </c>
      <c r="N135" s="26">
        <v>779.0</v>
      </c>
      <c r="O135" s="26">
        <v>779.0</v>
      </c>
      <c r="S135" s="29"/>
      <c r="T135" s="26">
        <v>780.0</v>
      </c>
      <c r="U135" s="26">
        <v>780.0</v>
      </c>
      <c r="V135" s="26">
        <v>780.0</v>
      </c>
      <c r="W135" s="26">
        <v>780.0</v>
      </c>
      <c r="AA135" s="29"/>
      <c r="AI135" s="45"/>
    </row>
    <row r="136">
      <c r="B136" s="24">
        <v>96.0</v>
      </c>
      <c r="C136" s="25" t="s">
        <v>172</v>
      </c>
      <c r="D136" s="26">
        <v>781.0</v>
      </c>
      <c r="E136" s="26">
        <v>782.0</v>
      </c>
      <c r="F136" s="26">
        <v>783.0</v>
      </c>
      <c r="G136" s="26">
        <v>784.0</v>
      </c>
      <c r="K136" s="29"/>
      <c r="L136" s="26">
        <v>779.0</v>
      </c>
      <c r="M136" s="26">
        <v>779.0</v>
      </c>
      <c r="N136" s="26">
        <v>779.0</v>
      </c>
      <c r="O136" s="26">
        <v>779.0</v>
      </c>
      <c r="S136" s="29"/>
      <c r="T136" s="26">
        <v>780.0</v>
      </c>
      <c r="U136" s="26">
        <v>780.0</v>
      </c>
      <c r="V136" s="26">
        <v>780.0</v>
      </c>
      <c r="W136" s="26">
        <v>780.0</v>
      </c>
      <c r="AA136" s="29"/>
      <c r="AI136" s="45"/>
    </row>
    <row r="137">
      <c r="B137" s="24">
        <v>97.0</v>
      </c>
      <c r="C137" s="25" t="s">
        <v>173</v>
      </c>
      <c r="D137" s="26">
        <v>785.0</v>
      </c>
      <c r="E137" s="26">
        <v>786.0</v>
      </c>
      <c r="F137" s="26">
        <v>787.0</v>
      </c>
      <c r="G137" s="26">
        <v>788.0</v>
      </c>
      <c r="K137" s="29"/>
      <c r="L137" s="26">
        <v>634.0</v>
      </c>
      <c r="M137" s="26">
        <v>634.0</v>
      </c>
      <c r="N137" s="26">
        <v>634.0</v>
      </c>
      <c r="O137" s="26">
        <v>634.0</v>
      </c>
      <c r="S137" s="29"/>
      <c r="T137" s="26">
        <v>635.0</v>
      </c>
      <c r="U137" s="26">
        <v>635.0</v>
      </c>
      <c r="V137" s="26">
        <v>635.0</v>
      </c>
      <c r="W137" s="26">
        <v>635.0</v>
      </c>
      <c r="AA137" s="29"/>
      <c r="AB137" s="26">
        <v>789.0</v>
      </c>
      <c r="AC137" s="26">
        <v>789.0</v>
      </c>
      <c r="AD137" s="26">
        <v>789.0</v>
      </c>
      <c r="AE137" s="26">
        <v>789.0</v>
      </c>
      <c r="AI137" s="45"/>
    </row>
    <row r="138">
      <c r="B138" s="24">
        <v>98.0</v>
      </c>
      <c r="C138" s="25" t="s">
        <v>174</v>
      </c>
      <c r="D138" s="26">
        <v>790.0</v>
      </c>
      <c r="E138" s="26">
        <v>791.0</v>
      </c>
      <c r="F138" s="26">
        <v>792.0</v>
      </c>
      <c r="G138" s="26">
        <v>793.0</v>
      </c>
      <c r="K138" s="29"/>
      <c r="S138" s="29"/>
      <c r="AA138" s="29"/>
      <c r="AI138" s="45"/>
    </row>
    <row r="139">
      <c r="B139" s="24">
        <v>99.0</v>
      </c>
      <c r="C139" s="25" t="s">
        <v>175</v>
      </c>
      <c r="D139" s="26">
        <v>794.0</v>
      </c>
      <c r="E139" s="26">
        <v>795.0</v>
      </c>
      <c r="F139" s="26">
        <v>796.0</v>
      </c>
      <c r="G139" s="26">
        <v>797.0</v>
      </c>
      <c r="K139" s="29"/>
      <c r="L139" s="26">
        <v>798.0</v>
      </c>
      <c r="M139" s="26">
        <v>798.0</v>
      </c>
      <c r="N139" s="26">
        <v>798.0</v>
      </c>
      <c r="O139" s="26">
        <v>798.0</v>
      </c>
      <c r="S139" s="29"/>
      <c r="T139" s="26">
        <v>799.0</v>
      </c>
      <c r="U139" s="26">
        <v>799.0</v>
      </c>
      <c r="V139" s="26">
        <v>799.0</v>
      </c>
      <c r="W139" s="26">
        <v>799.0</v>
      </c>
      <c r="AA139" s="29"/>
      <c r="AI139" s="45"/>
    </row>
    <row r="140">
      <c r="B140" s="24">
        <v>100.0</v>
      </c>
      <c r="C140" s="25" t="s">
        <v>176</v>
      </c>
      <c r="D140" s="26">
        <v>800.0</v>
      </c>
      <c r="E140" s="26">
        <v>801.0</v>
      </c>
      <c r="F140" s="26">
        <v>802.0</v>
      </c>
      <c r="G140" s="26">
        <v>803.0</v>
      </c>
      <c r="K140" s="29"/>
      <c r="L140" s="26">
        <v>804.0</v>
      </c>
      <c r="M140" s="26">
        <v>804.0</v>
      </c>
      <c r="N140" s="26">
        <v>804.0</v>
      </c>
      <c r="O140" s="26">
        <v>804.0</v>
      </c>
      <c r="S140" s="29"/>
      <c r="T140" s="26">
        <v>805.0</v>
      </c>
      <c r="U140" s="26">
        <v>805.0</v>
      </c>
      <c r="V140" s="26">
        <v>805.0</v>
      </c>
      <c r="W140" s="26">
        <v>805.0</v>
      </c>
      <c r="AA140" s="29"/>
      <c r="AB140" s="26">
        <v>806.0</v>
      </c>
      <c r="AC140" s="26">
        <v>806.0</v>
      </c>
      <c r="AD140" s="26">
        <v>806.0</v>
      </c>
      <c r="AE140" s="26">
        <v>806.0</v>
      </c>
      <c r="AI140" s="45"/>
    </row>
    <row r="141">
      <c r="B141" s="24">
        <v>101.0</v>
      </c>
      <c r="C141" s="25" t="s">
        <v>177</v>
      </c>
      <c r="D141" s="26">
        <v>807.0</v>
      </c>
      <c r="E141" s="26">
        <v>808.0</v>
      </c>
      <c r="F141" s="26">
        <v>809.0</v>
      </c>
      <c r="G141" s="26">
        <v>810.0</v>
      </c>
      <c r="K141" s="29"/>
      <c r="L141" s="26">
        <v>804.0</v>
      </c>
      <c r="M141" s="26">
        <v>804.0</v>
      </c>
      <c r="N141" s="26">
        <v>804.0</v>
      </c>
      <c r="O141" s="26">
        <v>804.0</v>
      </c>
      <c r="S141" s="29"/>
      <c r="T141" s="26">
        <v>805.0</v>
      </c>
      <c r="U141" s="26">
        <v>805.0</v>
      </c>
      <c r="V141" s="26">
        <v>805.0</v>
      </c>
      <c r="W141" s="26">
        <v>805.0</v>
      </c>
      <c r="AA141" s="29"/>
      <c r="AB141" s="26">
        <v>806.0</v>
      </c>
      <c r="AC141" s="26">
        <v>806.0</v>
      </c>
      <c r="AD141" s="26">
        <v>806.0</v>
      </c>
      <c r="AE141" s="26">
        <v>806.0</v>
      </c>
      <c r="AI141" s="45"/>
    </row>
    <row r="142">
      <c r="B142" s="24">
        <v>102.0</v>
      </c>
      <c r="C142" s="25" t="s">
        <v>178</v>
      </c>
      <c r="D142" s="26">
        <v>811.0</v>
      </c>
      <c r="K142" s="29"/>
      <c r="L142" s="26">
        <v>812.0</v>
      </c>
      <c r="S142" s="29"/>
      <c r="AA142" s="29"/>
      <c r="AI142" s="45"/>
    </row>
    <row r="143">
      <c r="B143" s="24">
        <v>103.0</v>
      </c>
      <c r="C143" s="25" t="s">
        <v>98</v>
      </c>
      <c r="D143" s="26">
        <v>816.0</v>
      </c>
      <c r="K143" s="29"/>
      <c r="L143" s="26">
        <v>817.0</v>
      </c>
      <c r="S143" s="29"/>
      <c r="T143" s="26">
        <v>818.0</v>
      </c>
      <c r="AA143" s="29"/>
      <c r="AB143" s="26">
        <v>819.0</v>
      </c>
      <c r="AI143" s="45"/>
    </row>
    <row r="144">
      <c r="B144" s="24">
        <v>104.0</v>
      </c>
      <c r="C144" s="25" t="s">
        <v>179</v>
      </c>
      <c r="D144" s="26">
        <v>820.0</v>
      </c>
      <c r="K144" s="29"/>
      <c r="L144" s="26">
        <v>821.0</v>
      </c>
      <c r="S144" s="29"/>
      <c r="T144" s="26">
        <v>822.0</v>
      </c>
      <c r="AA144" s="29"/>
      <c r="AB144" s="26">
        <v>823.0</v>
      </c>
      <c r="AI144" s="45"/>
    </row>
    <row r="145">
      <c r="B145" s="24">
        <v>105.0</v>
      </c>
      <c r="C145" s="25" t="s">
        <v>99</v>
      </c>
      <c r="D145" s="26">
        <v>824.0</v>
      </c>
      <c r="E145" s="26">
        <v>825.0</v>
      </c>
      <c r="F145" s="26">
        <v>826.0</v>
      </c>
      <c r="G145" s="26">
        <v>827.0</v>
      </c>
      <c r="K145" s="29"/>
      <c r="L145" s="26">
        <v>828.0</v>
      </c>
      <c r="M145" s="26">
        <v>828.0</v>
      </c>
      <c r="N145" s="26">
        <v>828.0</v>
      </c>
      <c r="O145" s="26">
        <v>828.0</v>
      </c>
      <c r="S145" s="29"/>
      <c r="AA145" s="29"/>
      <c r="AI145" s="45"/>
    </row>
    <row r="146">
      <c r="B146" s="24">
        <v>106.0</v>
      </c>
      <c r="C146" s="25" t="s">
        <v>100</v>
      </c>
      <c r="D146" s="26">
        <v>829.0</v>
      </c>
      <c r="K146" s="29"/>
      <c r="L146" s="26">
        <v>830.0</v>
      </c>
      <c r="S146" s="29"/>
      <c r="AA146" s="29"/>
      <c r="AI146" s="45"/>
    </row>
    <row r="147">
      <c r="B147" s="24">
        <v>107.0</v>
      </c>
      <c r="C147" s="25" t="s">
        <v>101</v>
      </c>
      <c r="D147" s="26">
        <v>831.0</v>
      </c>
      <c r="E147" s="26">
        <v>832.0</v>
      </c>
      <c r="F147" s="26">
        <v>833.0</v>
      </c>
      <c r="G147" s="26">
        <v>834.0</v>
      </c>
      <c r="K147" s="29"/>
      <c r="L147" s="26">
        <v>835.0</v>
      </c>
      <c r="M147" s="26">
        <v>835.0</v>
      </c>
      <c r="N147" s="26">
        <v>835.0</v>
      </c>
      <c r="O147" s="26">
        <v>835.0</v>
      </c>
      <c r="S147" s="29"/>
      <c r="T147" s="26">
        <v>836.0</v>
      </c>
      <c r="U147" s="26">
        <v>836.0</v>
      </c>
      <c r="V147" s="26">
        <v>836.0</v>
      </c>
      <c r="W147" s="26">
        <v>836.0</v>
      </c>
      <c r="AA147" s="29"/>
      <c r="AI147" s="45"/>
    </row>
    <row r="148">
      <c r="B148" s="24">
        <v>108.0</v>
      </c>
      <c r="C148" s="25" t="s">
        <v>180</v>
      </c>
      <c r="D148" s="26">
        <v>837.0</v>
      </c>
      <c r="E148" s="26">
        <v>838.0</v>
      </c>
      <c r="F148" s="26">
        <v>839.0</v>
      </c>
      <c r="G148" s="26">
        <v>840.0</v>
      </c>
      <c r="K148" s="29"/>
      <c r="L148" s="26">
        <v>835.0</v>
      </c>
      <c r="M148" s="26">
        <v>835.0</v>
      </c>
      <c r="N148" s="26">
        <v>835.0</v>
      </c>
      <c r="O148" s="26">
        <v>835.0</v>
      </c>
      <c r="S148" s="29"/>
      <c r="AA148" s="29"/>
      <c r="AI148" s="45"/>
    </row>
    <row r="149">
      <c r="B149" s="24">
        <v>109.0</v>
      </c>
      <c r="C149" s="25" t="s">
        <v>103</v>
      </c>
      <c r="D149" s="26">
        <v>841.0</v>
      </c>
      <c r="K149" s="29"/>
      <c r="L149" s="26">
        <v>842.0</v>
      </c>
      <c r="S149" s="29"/>
      <c r="AA149" s="29"/>
      <c r="AI149" s="45"/>
    </row>
    <row r="150">
      <c r="B150" s="24">
        <v>110.0</v>
      </c>
      <c r="C150" s="25" t="s">
        <v>181</v>
      </c>
      <c r="D150" s="26">
        <v>844.0</v>
      </c>
      <c r="K150" s="29"/>
      <c r="S150" s="29"/>
      <c r="AA150" s="29"/>
      <c r="AI150" s="45"/>
    </row>
    <row r="151">
      <c r="B151" s="24">
        <v>111.0</v>
      </c>
      <c r="C151" s="25" t="s">
        <v>105</v>
      </c>
      <c r="D151" s="26">
        <v>845.0</v>
      </c>
      <c r="K151" s="29"/>
      <c r="S151" s="29"/>
      <c r="AA151" s="29"/>
      <c r="AI151" s="45"/>
    </row>
    <row r="152">
      <c r="B152" s="24">
        <v>112.0</v>
      </c>
      <c r="C152" s="25" t="s">
        <v>106</v>
      </c>
      <c r="D152" s="26">
        <v>846.0</v>
      </c>
      <c r="E152" s="26">
        <v>847.0</v>
      </c>
      <c r="F152" s="26">
        <v>848.0</v>
      </c>
      <c r="G152" s="26">
        <v>849.0</v>
      </c>
      <c r="K152" s="29"/>
      <c r="L152" s="26">
        <v>850.0</v>
      </c>
      <c r="M152" s="26">
        <v>850.0</v>
      </c>
      <c r="N152" s="26">
        <v>850.0</v>
      </c>
      <c r="O152" s="26">
        <v>850.0</v>
      </c>
      <c r="S152" s="29"/>
      <c r="T152" s="26">
        <v>851.0</v>
      </c>
      <c r="U152" s="26">
        <v>851.0</v>
      </c>
      <c r="V152" s="26">
        <v>851.0</v>
      </c>
      <c r="W152" s="26">
        <v>851.0</v>
      </c>
      <c r="AA152" s="29"/>
      <c r="AB152" s="26">
        <v>852.0</v>
      </c>
      <c r="AC152" s="26">
        <v>852.0</v>
      </c>
      <c r="AD152" s="26">
        <v>852.0</v>
      </c>
      <c r="AE152" s="26">
        <v>852.0</v>
      </c>
      <c r="AI152" s="45"/>
    </row>
    <row r="153">
      <c r="B153" s="24">
        <v>113.0</v>
      </c>
      <c r="C153" s="25" t="s">
        <v>107</v>
      </c>
      <c r="D153" s="26">
        <v>853.0</v>
      </c>
      <c r="E153" s="26">
        <v>854.0</v>
      </c>
      <c r="F153" s="26">
        <v>855.0</v>
      </c>
      <c r="G153" s="26">
        <v>856.0</v>
      </c>
      <c r="K153" s="29"/>
      <c r="L153" s="26">
        <v>857.0</v>
      </c>
      <c r="M153" s="26">
        <v>857.0</v>
      </c>
      <c r="N153" s="26">
        <v>857.0</v>
      </c>
      <c r="O153" s="26">
        <v>857.0</v>
      </c>
      <c r="S153" s="29"/>
      <c r="T153" s="26">
        <v>858.0</v>
      </c>
      <c r="U153" s="26">
        <v>858.0</v>
      </c>
      <c r="V153" s="26">
        <v>858.0</v>
      </c>
      <c r="W153" s="26">
        <v>858.0</v>
      </c>
      <c r="AA153" s="29"/>
      <c r="AB153" s="26">
        <v>859.0</v>
      </c>
      <c r="AC153" s="26">
        <v>859.0</v>
      </c>
      <c r="AD153" s="26">
        <v>859.0</v>
      </c>
      <c r="AE153" s="26">
        <v>859.0</v>
      </c>
      <c r="AI153" s="45"/>
    </row>
    <row r="154">
      <c r="B154" s="24">
        <v>114.0</v>
      </c>
      <c r="C154" s="25" t="s">
        <v>108</v>
      </c>
      <c r="D154" s="26">
        <v>860.0</v>
      </c>
      <c r="K154" s="29"/>
      <c r="S154" s="29"/>
      <c r="AA154" s="29"/>
      <c r="AI154" s="45"/>
    </row>
    <row r="155">
      <c r="B155" s="24">
        <v>115.0</v>
      </c>
      <c r="C155" s="25" t="s">
        <v>109</v>
      </c>
      <c r="D155" s="26">
        <v>861.0</v>
      </c>
      <c r="K155" s="29"/>
      <c r="L155" s="26">
        <v>862.0</v>
      </c>
      <c r="S155" s="29"/>
      <c r="AA155" s="29"/>
      <c r="AI155" s="45"/>
    </row>
    <row r="156">
      <c r="B156" s="24">
        <v>116.0</v>
      </c>
      <c r="C156" s="25" t="s">
        <v>110</v>
      </c>
      <c r="D156" s="26">
        <v>866.0</v>
      </c>
      <c r="K156" s="29"/>
      <c r="L156" s="26">
        <v>867.0</v>
      </c>
      <c r="S156" s="29"/>
      <c r="AA156" s="29"/>
      <c r="AI156" s="45"/>
    </row>
    <row r="157">
      <c r="B157" s="24">
        <v>117.0</v>
      </c>
      <c r="C157" s="25"/>
      <c r="K157" s="29"/>
      <c r="S157" s="29"/>
      <c r="AA157" s="29"/>
      <c r="AI157" s="45"/>
    </row>
    <row r="158">
      <c r="B158" s="24">
        <v>118.0</v>
      </c>
      <c r="C158" s="25" t="s">
        <v>46</v>
      </c>
      <c r="K158" s="29"/>
      <c r="S158" s="29"/>
      <c r="AA158" s="29"/>
      <c r="AI158" s="45"/>
    </row>
    <row r="159">
      <c r="B159" s="24">
        <v>119.0</v>
      </c>
      <c r="C159" s="25" t="s">
        <v>111</v>
      </c>
      <c r="K159" s="29"/>
      <c r="S159" s="29"/>
      <c r="AA159" s="29"/>
      <c r="AI159" s="45"/>
    </row>
    <row r="160">
      <c r="B160" s="24">
        <v>120.0</v>
      </c>
      <c r="C160" s="25" t="s">
        <v>74</v>
      </c>
      <c r="K160" s="29"/>
      <c r="S160" s="29"/>
      <c r="AA160" s="29"/>
      <c r="AI160" s="45"/>
    </row>
    <row r="161">
      <c r="B161" s="24">
        <v>121.0</v>
      </c>
      <c r="C161" s="25" t="s">
        <v>182</v>
      </c>
      <c r="K161" s="29"/>
      <c r="S161" s="29"/>
      <c r="AA161" s="29"/>
      <c r="AI161" s="45"/>
    </row>
    <row r="162">
      <c r="B162" s="24">
        <v>122.0</v>
      </c>
      <c r="C162" s="25" t="s">
        <v>112</v>
      </c>
      <c r="K162" s="29"/>
      <c r="S162" s="29"/>
      <c r="AA162" s="29"/>
      <c r="AI162" s="45"/>
    </row>
    <row r="163">
      <c r="B163" s="24">
        <v>123.0</v>
      </c>
      <c r="C163" s="25" t="s">
        <v>113</v>
      </c>
      <c r="K163" s="29"/>
      <c r="S163" s="29"/>
      <c r="AA163" s="29"/>
      <c r="AI163" s="45"/>
    </row>
    <row r="164">
      <c r="B164" s="24">
        <v>124.0</v>
      </c>
      <c r="C164" s="25" t="s">
        <v>114</v>
      </c>
      <c r="K164" s="29"/>
      <c r="S164" s="29"/>
      <c r="AA164" s="29"/>
      <c r="AI164" s="45"/>
    </row>
    <row r="165">
      <c r="B165" s="24">
        <v>125.0</v>
      </c>
      <c r="C165" s="25" t="s">
        <v>115</v>
      </c>
      <c r="K165" s="29"/>
      <c r="S165" s="29"/>
      <c r="AA165" s="29"/>
      <c r="AI165" s="45"/>
    </row>
    <row r="166">
      <c r="B166" s="24">
        <v>126.0</v>
      </c>
      <c r="C166" s="25" t="s">
        <v>183</v>
      </c>
      <c r="K166" s="29"/>
      <c r="S166" s="29"/>
      <c r="AA166" s="29"/>
      <c r="AI166" s="45"/>
    </row>
    <row r="167">
      <c r="B167" s="24">
        <v>127.0</v>
      </c>
      <c r="C167" s="25" t="s">
        <v>184</v>
      </c>
      <c r="K167" s="29"/>
      <c r="S167" s="29"/>
      <c r="AA167" s="29"/>
      <c r="AI167" s="45"/>
    </row>
    <row r="168">
      <c r="B168" s="24">
        <v>128.0</v>
      </c>
      <c r="C168" s="25" t="s">
        <v>185</v>
      </c>
      <c r="K168" s="29"/>
      <c r="S168" s="29"/>
      <c r="AA168" s="29"/>
      <c r="AI168" s="45"/>
    </row>
    <row r="169">
      <c r="B169" s="24">
        <v>129.0</v>
      </c>
      <c r="C169" s="25" t="s">
        <v>186</v>
      </c>
      <c r="K169" s="29"/>
      <c r="S169" s="29"/>
      <c r="AA169" s="29"/>
      <c r="AI169" s="45"/>
    </row>
    <row r="170">
      <c r="B170" s="24">
        <v>130.0</v>
      </c>
      <c r="C170" s="25" t="s">
        <v>120</v>
      </c>
      <c r="K170" s="29"/>
      <c r="S170" s="29"/>
      <c r="AA170" s="29"/>
      <c r="AI170" s="45"/>
    </row>
    <row r="171">
      <c r="B171" s="24">
        <v>131.0</v>
      </c>
      <c r="C171" s="25" t="s">
        <v>121</v>
      </c>
      <c r="K171" s="29"/>
      <c r="S171" s="29"/>
      <c r="AA171" s="29"/>
      <c r="AI171" s="45"/>
    </row>
    <row r="172">
      <c r="B172" s="24">
        <v>132.0</v>
      </c>
      <c r="C172" s="25" t="s">
        <v>187</v>
      </c>
      <c r="K172" s="29"/>
      <c r="S172" s="29"/>
      <c r="AA172" s="29"/>
      <c r="AI172" s="45"/>
    </row>
    <row r="173">
      <c r="B173" s="24">
        <v>133.0</v>
      </c>
      <c r="C173" s="25" t="s">
        <v>123</v>
      </c>
      <c r="K173" s="29"/>
      <c r="S173" s="29"/>
      <c r="AA173" s="29"/>
      <c r="AI173" s="45"/>
    </row>
    <row r="174">
      <c r="B174" s="24">
        <v>134.0</v>
      </c>
      <c r="C174" s="25" t="s">
        <v>124</v>
      </c>
      <c r="K174" s="29"/>
      <c r="S174" s="29"/>
      <c r="AA174" s="29"/>
      <c r="AI174" s="45"/>
    </row>
    <row r="175">
      <c r="B175" s="24">
        <v>135.0</v>
      </c>
      <c r="C175" s="25" t="s">
        <v>188</v>
      </c>
      <c r="K175" s="29"/>
      <c r="S175" s="29"/>
      <c r="AA175" s="29"/>
      <c r="AI175" s="45"/>
    </row>
    <row r="176">
      <c r="B176" s="24">
        <v>136.0</v>
      </c>
      <c r="C176" s="25" t="s">
        <v>189</v>
      </c>
      <c r="K176" s="29"/>
      <c r="S176" s="29"/>
      <c r="AA176" s="29"/>
      <c r="AI176" s="45"/>
    </row>
    <row r="177">
      <c r="B177" s="24">
        <v>137.0</v>
      </c>
      <c r="C177" s="25" t="s">
        <v>127</v>
      </c>
      <c r="D177" s="26">
        <v>595.0</v>
      </c>
      <c r="K177" s="29"/>
      <c r="S177" s="29"/>
      <c r="T177" s="26">
        <v>596.0</v>
      </c>
      <c r="AA177" s="29"/>
      <c r="AI177" s="45"/>
    </row>
    <row r="178">
      <c r="B178" s="24">
        <v>138.0</v>
      </c>
      <c r="C178" s="25" t="s">
        <v>127</v>
      </c>
      <c r="D178" s="26">
        <v>595.0</v>
      </c>
      <c r="K178" s="29"/>
      <c r="S178" s="29"/>
      <c r="T178" s="26">
        <v>596.0</v>
      </c>
      <c r="AA178" s="29"/>
      <c r="AI178" s="45"/>
    </row>
    <row r="179">
      <c r="B179" s="24">
        <v>139.0</v>
      </c>
      <c r="C179" s="25" t="s">
        <v>127</v>
      </c>
      <c r="D179" s="26">
        <v>595.0</v>
      </c>
      <c r="K179" s="29"/>
      <c r="S179" s="29"/>
      <c r="T179" s="26">
        <v>596.0</v>
      </c>
      <c r="AA179" s="29"/>
      <c r="AI179" s="45"/>
    </row>
    <row r="180">
      <c r="B180" s="24">
        <v>140.0</v>
      </c>
      <c r="C180" s="25" t="s">
        <v>127</v>
      </c>
      <c r="D180" s="26">
        <v>595.0</v>
      </c>
      <c r="K180" s="29"/>
      <c r="S180" s="29"/>
      <c r="T180" s="26">
        <v>596.0</v>
      </c>
      <c r="AA180" s="29"/>
      <c r="AI180" s="45"/>
    </row>
    <row r="181">
      <c r="B181" s="24">
        <v>141.0</v>
      </c>
      <c r="C181" s="25" t="s">
        <v>127</v>
      </c>
      <c r="D181" s="26">
        <v>595.0</v>
      </c>
      <c r="K181" s="29"/>
      <c r="S181" s="29"/>
      <c r="T181" s="26">
        <v>596.0</v>
      </c>
      <c r="AA181" s="29"/>
      <c r="AI181" s="45"/>
    </row>
    <row r="182">
      <c r="B182" s="24">
        <v>142.0</v>
      </c>
      <c r="C182" s="25" t="s">
        <v>127</v>
      </c>
      <c r="D182" s="26">
        <v>595.0</v>
      </c>
      <c r="K182" s="29"/>
      <c r="S182" s="29"/>
      <c r="T182" s="26">
        <v>596.0</v>
      </c>
      <c r="AA182" s="29"/>
      <c r="AI182" s="45"/>
    </row>
    <row r="183">
      <c r="B183" s="24">
        <v>143.0</v>
      </c>
      <c r="C183" s="25" t="s">
        <v>127</v>
      </c>
      <c r="D183" s="26">
        <v>595.0</v>
      </c>
      <c r="K183" s="29"/>
      <c r="S183" s="29"/>
      <c r="T183" s="26">
        <v>596.0</v>
      </c>
      <c r="AA183" s="29"/>
      <c r="AI183" s="45"/>
    </row>
    <row r="184">
      <c r="B184" s="24">
        <v>144.0</v>
      </c>
      <c r="C184" s="25" t="s">
        <v>127</v>
      </c>
      <c r="D184" s="26">
        <v>595.0</v>
      </c>
      <c r="K184" s="29"/>
      <c r="S184" s="29"/>
      <c r="T184" s="26">
        <v>596.0</v>
      </c>
      <c r="AA184" s="29"/>
      <c r="AI184" s="45"/>
    </row>
    <row r="185">
      <c r="B185" s="24">
        <v>145.0</v>
      </c>
      <c r="C185" s="25" t="s">
        <v>127</v>
      </c>
      <c r="D185" s="26">
        <v>595.0</v>
      </c>
      <c r="K185" s="29"/>
      <c r="S185" s="29"/>
      <c r="T185" s="26">
        <v>596.0</v>
      </c>
      <c r="AA185" s="29"/>
      <c r="AI185" s="45"/>
    </row>
    <row r="186">
      <c r="B186" s="24">
        <v>146.0</v>
      </c>
      <c r="C186" s="25" t="s">
        <v>127</v>
      </c>
      <c r="D186" s="26">
        <v>595.0</v>
      </c>
      <c r="K186" s="29"/>
      <c r="S186" s="29"/>
      <c r="T186" s="26">
        <v>596.0</v>
      </c>
      <c r="AA186" s="29"/>
      <c r="AI186" s="45"/>
    </row>
    <row r="187">
      <c r="B187" s="24">
        <v>147.0</v>
      </c>
      <c r="C187" s="25" t="s">
        <v>127</v>
      </c>
      <c r="D187" s="26">
        <v>595.0</v>
      </c>
      <c r="K187" s="29"/>
      <c r="S187" s="29"/>
      <c r="T187" s="26">
        <v>596.0</v>
      </c>
      <c r="AA187" s="29"/>
      <c r="AI187" s="45"/>
    </row>
    <row r="188">
      <c r="B188" s="24">
        <v>148.0</v>
      </c>
      <c r="C188" s="25" t="s">
        <v>127</v>
      </c>
      <c r="D188" s="26">
        <v>595.0</v>
      </c>
      <c r="K188" s="29"/>
      <c r="S188" s="29"/>
      <c r="T188" s="26">
        <v>596.0</v>
      </c>
      <c r="AA188" s="29"/>
      <c r="AI188" s="45"/>
    </row>
    <row r="189">
      <c r="B189" s="24">
        <v>149.0</v>
      </c>
      <c r="C189" s="25" t="s">
        <v>127</v>
      </c>
      <c r="D189" s="26">
        <v>595.0</v>
      </c>
      <c r="K189" s="29"/>
      <c r="S189" s="29"/>
      <c r="T189" s="26">
        <v>596.0</v>
      </c>
      <c r="AA189" s="29"/>
      <c r="AI189" s="45"/>
    </row>
    <row r="190">
      <c r="B190" s="24">
        <v>150.0</v>
      </c>
      <c r="C190" s="25" t="s">
        <v>127</v>
      </c>
      <c r="D190" s="26">
        <v>595.0</v>
      </c>
      <c r="K190" s="29"/>
      <c r="S190" s="29"/>
      <c r="T190" s="26">
        <v>596.0</v>
      </c>
      <c r="AA190" s="29"/>
      <c r="AI190" s="45"/>
    </row>
    <row r="191">
      <c r="B191" s="24">
        <v>151.0</v>
      </c>
      <c r="C191" s="25" t="s">
        <v>127</v>
      </c>
      <c r="D191" s="26">
        <v>595.0</v>
      </c>
      <c r="K191" s="29"/>
      <c r="S191" s="29"/>
      <c r="T191" s="26">
        <v>596.0</v>
      </c>
      <c r="AA191" s="29"/>
      <c r="AI191" s="45"/>
    </row>
    <row r="192">
      <c r="B192" s="24">
        <v>152.0</v>
      </c>
      <c r="C192" s="25" t="s">
        <v>127</v>
      </c>
      <c r="D192" s="26">
        <v>595.0</v>
      </c>
      <c r="K192" s="29"/>
      <c r="S192" s="29"/>
      <c r="T192" s="26">
        <v>596.0</v>
      </c>
      <c r="AA192" s="29"/>
      <c r="AI192" s="45"/>
    </row>
    <row r="193">
      <c r="B193" s="24">
        <v>153.0</v>
      </c>
      <c r="C193" s="25" t="s">
        <v>127</v>
      </c>
      <c r="D193" s="26">
        <v>595.0</v>
      </c>
      <c r="K193" s="29"/>
      <c r="S193" s="29"/>
      <c r="T193" s="26">
        <v>596.0</v>
      </c>
      <c r="AA193" s="29"/>
      <c r="AI193" s="45"/>
    </row>
    <row r="194">
      <c r="B194" s="24">
        <v>154.0</v>
      </c>
      <c r="C194" s="25" t="s">
        <v>127</v>
      </c>
      <c r="D194" s="26">
        <v>595.0</v>
      </c>
      <c r="K194" s="29"/>
      <c r="S194" s="29"/>
      <c r="T194" s="26">
        <v>596.0</v>
      </c>
      <c r="AA194" s="29"/>
      <c r="AI194" s="45"/>
    </row>
    <row r="195">
      <c r="B195" s="24">
        <v>155.0</v>
      </c>
      <c r="C195" s="25" t="s">
        <v>127</v>
      </c>
      <c r="D195" s="26">
        <v>595.0</v>
      </c>
      <c r="K195" s="29"/>
      <c r="S195" s="29"/>
      <c r="T195" s="26">
        <v>596.0</v>
      </c>
      <c r="AA195" s="29"/>
      <c r="AI195" s="45"/>
    </row>
    <row r="196">
      <c r="B196" s="24">
        <v>156.0</v>
      </c>
      <c r="C196" s="25" t="s">
        <v>127</v>
      </c>
      <c r="D196" s="26">
        <v>595.0</v>
      </c>
      <c r="K196" s="29"/>
      <c r="S196" s="29"/>
      <c r="T196" s="26">
        <v>596.0</v>
      </c>
      <c r="AA196" s="29"/>
      <c r="AI196" s="45"/>
    </row>
    <row r="197">
      <c r="B197" s="24">
        <v>157.0</v>
      </c>
      <c r="C197" s="25" t="s">
        <v>127</v>
      </c>
      <c r="D197" s="26">
        <v>595.0</v>
      </c>
      <c r="K197" s="29"/>
      <c r="S197" s="29"/>
      <c r="T197" s="26">
        <v>596.0</v>
      </c>
      <c r="AA197" s="29"/>
      <c r="AI197" s="45"/>
    </row>
    <row r="198">
      <c r="B198" s="24">
        <v>158.0</v>
      </c>
      <c r="C198" s="25" t="s">
        <v>127</v>
      </c>
      <c r="D198" s="26">
        <v>595.0</v>
      </c>
      <c r="K198" s="29"/>
      <c r="S198" s="29"/>
      <c r="T198" s="26">
        <v>596.0</v>
      </c>
      <c r="AA198" s="29"/>
      <c r="AI198" s="45"/>
    </row>
    <row r="199">
      <c r="B199" s="24">
        <v>159.0</v>
      </c>
      <c r="C199" s="25" t="s">
        <v>127</v>
      </c>
      <c r="D199" s="26">
        <v>595.0</v>
      </c>
      <c r="K199" s="29"/>
      <c r="S199" s="29"/>
      <c r="T199" s="26">
        <v>596.0</v>
      </c>
      <c r="AA199" s="29"/>
      <c r="AI199" s="45"/>
    </row>
    <row r="200">
      <c r="B200" s="24">
        <v>160.0</v>
      </c>
      <c r="C200" s="25" t="s">
        <v>127</v>
      </c>
      <c r="D200" s="26">
        <v>595.0</v>
      </c>
      <c r="K200" s="29"/>
      <c r="S200" s="29"/>
      <c r="T200" s="26">
        <v>596.0</v>
      </c>
      <c r="AA200" s="29"/>
      <c r="AI200" s="45"/>
    </row>
    <row r="201">
      <c r="B201" s="24">
        <v>161.0</v>
      </c>
      <c r="C201" s="25" t="s">
        <v>127</v>
      </c>
      <c r="D201" s="26">
        <v>595.0</v>
      </c>
      <c r="K201" s="29"/>
      <c r="S201" s="29"/>
      <c r="T201" s="26">
        <v>596.0</v>
      </c>
      <c r="AA201" s="29"/>
      <c r="AI201" s="45"/>
    </row>
    <row r="202">
      <c r="B202" s="24">
        <v>162.0</v>
      </c>
      <c r="C202" s="25" t="s">
        <v>127</v>
      </c>
      <c r="D202" s="26">
        <v>595.0</v>
      </c>
      <c r="K202" s="29"/>
      <c r="S202" s="29"/>
      <c r="T202" s="26">
        <v>596.0</v>
      </c>
      <c r="AA202" s="29"/>
      <c r="AI202" s="45"/>
    </row>
    <row r="203">
      <c r="B203" s="24">
        <v>163.0</v>
      </c>
      <c r="C203" s="25" t="s">
        <v>127</v>
      </c>
      <c r="D203" s="26">
        <v>595.0</v>
      </c>
      <c r="K203" s="29"/>
      <c r="S203" s="29"/>
      <c r="T203" s="26">
        <v>596.0</v>
      </c>
      <c r="AA203" s="29"/>
      <c r="AI203" s="45"/>
    </row>
    <row r="204">
      <c r="B204" s="24">
        <v>164.0</v>
      </c>
      <c r="C204" s="25" t="s">
        <v>127</v>
      </c>
      <c r="D204" s="26">
        <v>595.0</v>
      </c>
      <c r="K204" s="29"/>
      <c r="S204" s="29"/>
      <c r="T204" s="26">
        <v>596.0</v>
      </c>
      <c r="AA204" s="29"/>
      <c r="AI204" s="45"/>
    </row>
    <row r="205">
      <c r="B205" s="24">
        <v>165.0</v>
      </c>
      <c r="C205" s="25" t="s">
        <v>127</v>
      </c>
      <c r="D205" s="26">
        <v>595.0</v>
      </c>
      <c r="K205" s="29"/>
      <c r="S205" s="29"/>
      <c r="T205" s="26">
        <v>596.0</v>
      </c>
      <c r="AA205" s="29"/>
      <c r="AI205" s="45"/>
    </row>
    <row r="206">
      <c r="B206" s="24">
        <v>166.0</v>
      </c>
      <c r="C206" s="25" t="s">
        <v>127</v>
      </c>
      <c r="D206" s="26">
        <v>595.0</v>
      </c>
      <c r="K206" s="29"/>
      <c r="S206" s="29"/>
      <c r="T206" s="26">
        <v>596.0</v>
      </c>
      <c r="AA206" s="29"/>
      <c r="AI206" s="45"/>
    </row>
    <row r="207">
      <c r="B207" s="24">
        <v>167.0</v>
      </c>
      <c r="C207" s="25" t="s">
        <v>127</v>
      </c>
      <c r="D207" s="26">
        <v>595.0</v>
      </c>
      <c r="K207" s="29"/>
      <c r="S207" s="29"/>
      <c r="T207" s="26">
        <v>596.0</v>
      </c>
      <c r="AA207" s="29"/>
      <c r="AI207" s="45"/>
    </row>
    <row r="208">
      <c r="B208" s="24">
        <v>168.0</v>
      </c>
      <c r="C208" s="25" t="s">
        <v>127</v>
      </c>
      <c r="D208" s="26">
        <v>595.0</v>
      </c>
      <c r="K208" s="29"/>
      <c r="S208" s="29"/>
      <c r="T208" s="26">
        <v>596.0</v>
      </c>
      <c r="AA208" s="29"/>
      <c r="AI208" s="45"/>
    </row>
    <row r="209">
      <c r="B209" s="24">
        <v>169.0</v>
      </c>
      <c r="C209" s="25" t="s">
        <v>127</v>
      </c>
      <c r="D209" s="26">
        <v>595.0</v>
      </c>
      <c r="K209" s="29"/>
      <c r="S209" s="29"/>
      <c r="T209" s="26">
        <v>596.0</v>
      </c>
      <c r="AA209" s="29"/>
      <c r="AI209" s="45"/>
    </row>
    <row r="210">
      <c r="B210" s="24">
        <v>170.0</v>
      </c>
      <c r="C210" s="25" t="s">
        <v>127</v>
      </c>
      <c r="D210" s="26">
        <v>595.0</v>
      </c>
      <c r="K210" s="29"/>
      <c r="S210" s="29"/>
      <c r="T210" s="26">
        <v>596.0</v>
      </c>
      <c r="AA210" s="29"/>
      <c r="AI210" s="45"/>
    </row>
    <row r="211">
      <c r="B211" s="24">
        <v>171.0</v>
      </c>
      <c r="C211" s="25" t="s">
        <v>127</v>
      </c>
      <c r="D211" s="26">
        <v>595.0</v>
      </c>
      <c r="K211" s="29"/>
      <c r="S211" s="29"/>
      <c r="T211" s="26">
        <v>596.0</v>
      </c>
      <c r="AA211" s="29"/>
      <c r="AI211" s="45"/>
    </row>
    <row r="212">
      <c r="B212" s="24">
        <v>172.0</v>
      </c>
      <c r="C212" s="25" t="s">
        <v>127</v>
      </c>
      <c r="D212" s="26">
        <v>595.0</v>
      </c>
      <c r="K212" s="29"/>
      <c r="S212" s="29"/>
      <c r="T212" s="26">
        <v>596.0</v>
      </c>
      <c r="AA212" s="29"/>
      <c r="AI212" s="45"/>
    </row>
    <row r="213">
      <c r="B213" s="24">
        <v>173.0</v>
      </c>
      <c r="C213" s="25" t="s">
        <v>127</v>
      </c>
      <c r="D213" s="26">
        <v>595.0</v>
      </c>
      <c r="K213" s="29"/>
      <c r="S213" s="29"/>
      <c r="T213" s="26">
        <v>596.0</v>
      </c>
      <c r="AA213" s="29"/>
      <c r="AI213" s="45"/>
    </row>
    <row r="214">
      <c r="B214" s="24">
        <v>174.0</v>
      </c>
      <c r="C214" s="25" t="s">
        <v>127</v>
      </c>
      <c r="D214" s="26">
        <v>595.0</v>
      </c>
      <c r="K214" s="29"/>
      <c r="S214" s="29"/>
      <c r="T214" s="26">
        <v>596.0</v>
      </c>
      <c r="AA214" s="29"/>
      <c r="AI214" s="45"/>
    </row>
    <row r="215">
      <c r="B215" s="24">
        <v>175.0</v>
      </c>
      <c r="C215" s="25" t="s">
        <v>127</v>
      </c>
      <c r="D215" s="26">
        <v>595.0</v>
      </c>
      <c r="K215" s="29"/>
      <c r="S215" s="29"/>
      <c r="T215" s="26">
        <v>596.0</v>
      </c>
      <c r="AA215" s="29"/>
      <c r="AI215" s="45"/>
    </row>
    <row r="216">
      <c r="B216" s="24">
        <v>176.0</v>
      </c>
      <c r="C216" s="25" t="s">
        <v>127</v>
      </c>
      <c r="D216" s="26">
        <v>595.0</v>
      </c>
      <c r="K216" s="29"/>
      <c r="S216" s="29"/>
      <c r="T216" s="26">
        <v>596.0</v>
      </c>
      <c r="AA216" s="29"/>
      <c r="AI216" s="45"/>
    </row>
    <row r="217">
      <c r="B217" s="24">
        <v>177.0</v>
      </c>
      <c r="C217" s="25" t="s">
        <v>127</v>
      </c>
      <c r="D217" s="26">
        <v>595.0</v>
      </c>
      <c r="K217" s="29"/>
      <c r="S217" s="29"/>
      <c r="T217" s="26">
        <v>596.0</v>
      </c>
      <c r="AA217" s="29"/>
      <c r="AI217" s="45"/>
    </row>
    <row r="218">
      <c r="B218" s="24">
        <v>178.0</v>
      </c>
      <c r="C218" s="25" t="s">
        <v>127</v>
      </c>
      <c r="D218" s="26">
        <v>595.0</v>
      </c>
      <c r="K218" s="29"/>
      <c r="S218" s="29"/>
      <c r="T218" s="26">
        <v>596.0</v>
      </c>
      <c r="AA218" s="29"/>
      <c r="AI218" s="45"/>
    </row>
    <row r="219">
      <c r="B219" s="24">
        <v>179.0</v>
      </c>
      <c r="C219" s="25" t="s">
        <v>127</v>
      </c>
      <c r="D219" s="26">
        <v>595.0</v>
      </c>
      <c r="K219" s="29"/>
      <c r="S219" s="29"/>
      <c r="T219" s="26">
        <v>596.0</v>
      </c>
      <c r="AA219" s="29"/>
      <c r="AI219" s="45"/>
    </row>
    <row r="220">
      <c r="B220" s="24">
        <v>180.0</v>
      </c>
      <c r="C220" s="25" t="s">
        <v>127</v>
      </c>
      <c r="D220" s="26">
        <v>595.0</v>
      </c>
      <c r="K220" s="29"/>
      <c r="S220" s="29"/>
      <c r="T220" s="26">
        <v>596.0</v>
      </c>
      <c r="AA220" s="29"/>
      <c r="AI220" s="45"/>
    </row>
    <row r="221">
      <c r="B221" s="24">
        <v>181.0</v>
      </c>
      <c r="C221" s="25" t="s">
        <v>127</v>
      </c>
      <c r="D221" s="26">
        <v>595.0</v>
      </c>
      <c r="K221" s="29"/>
      <c r="S221" s="29"/>
      <c r="T221" s="26">
        <v>596.0</v>
      </c>
      <c r="AA221" s="29"/>
      <c r="AI221" s="45"/>
    </row>
    <row r="222">
      <c r="B222" s="24">
        <v>182.0</v>
      </c>
      <c r="C222" s="25" t="s">
        <v>127</v>
      </c>
      <c r="D222" s="26">
        <v>595.0</v>
      </c>
      <c r="K222" s="29"/>
      <c r="S222" s="29"/>
      <c r="T222" s="26">
        <v>596.0</v>
      </c>
      <c r="AA222" s="29"/>
      <c r="AI222" s="45"/>
    </row>
    <row r="223">
      <c r="B223" s="24">
        <v>183.0</v>
      </c>
      <c r="C223" s="25" t="s">
        <v>127</v>
      </c>
      <c r="D223" s="26">
        <v>595.0</v>
      </c>
      <c r="K223" s="29"/>
      <c r="S223" s="29"/>
      <c r="T223" s="26">
        <v>596.0</v>
      </c>
      <c r="AA223" s="29"/>
      <c r="AI223" s="45"/>
    </row>
    <row r="224">
      <c r="B224" s="24">
        <v>184.0</v>
      </c>
      <c r="C224" s="25" t="s">
        <v>127</v>
      </c>
      <c r="D224" s="26">
        <v>595.0</v>
      </c>
      <c r="K224" s="29"/>
      <c r="S224" s="29"/>
      <c r="T224" s="26">
        <v>596.0</v>
      </c>
      <c r="AA224" s="29"/>
      <c r="AI224" s="45"/>
    </row>
    <row r="225">
      <c r="B225" s="24">
        <v>185.0</v>
      </c>
      <c r="C225" s="25" t="s">
        <v>127</v>
      </c>
      <c r="D225" s="26">
        <v>595.0</v>
      </c>
      <c r="K225" s="29"/>
      <c r="S225" s="29"/>
      <c r="T225" s="26">
        <v>596.0</v>
      </c>
      <c r="AA225" s="29"/>
      <c r="AI225" s="45"/>
    </row>
    <row r="226">
      <c r="B226" s="24">
        <v>186.0</v>
      </c>
      <c r="C226" s="25" t="s">
        <v>127</v>
      </c>
      <c r="D226" s="26">
        <v>595.0</v>
      </c>
      <c r="K226" s="29"/>
      <c r="S226" s="29"/>
      <c r="T226" s="26">
        <v>596.0</v>
      </c>
      <c r="AA226" s="29"/>
      <c r="AI226" s="45"/>
    </row>
    <row r="227">
      <c r="B227" s="24">
        <v>187.0</v>
      </c>
      <c r="C227" s="25" t="s">
        <v>127</v>
      </c>
      <c r="D227" s="26">
        <v>595.0</v>
      </c>
      <c r="K227" s="29"/>
      <c r="S227" s="29"/>
      <c r="T227" s="26">
        <v>596.0</v>
      </c>
      <c r="AA227" s="29"/>
      <c r="AI227" s="45"/>
    </row>
    <row r="228">
      <c r="B228" s="24">
        <v>188.0</v>
      </c>
      <c r="C228" s="25" t="s">
        <v>127</v>
      </c>
      <c r="D228" s="26">
        <v>595.0</v>
      </c>
      <c r="K228" s="29"/>
      <c r="S228" s="29"/>
      <c r="T228" s="26">
        <v>596.0</v>
      </c>
      <c r="AA228" s="29"/>
      <c r="AI228" s="45"/>
    </row>
    <row r="229">
      <c r="B229" s="24">
        <v>189.0</v>
      </c>
      <c r="C229" s="25" t="s">
        <v>127</v>
      </c>
      <c r="D229" s="26">
        <v>595.0</v>
      </c>
      <c r="K229" s="29"/>
      <c r="S229" s="29"/>
      <c r="T229" s="26">
        <v>596.0</v>
      </c>
      <c r="AA229" s="29"/>
      <c r="AI229" s="45"/>
    </row>
    <row r="230">
      <c r="B230" s="24">
        <v>190.0</v>
      </c>
      <c r="C230" s="25" t="s">
        <v>127</v>
      </c>
      <c r="D230" s="26">
        <v>595.0</v>
      </c>
      <c r="K230" s="29"/>
      <c r="S230" s="29"/>
      <c r="T230" s="26">
        <v>596.0</v>
      </c>
      <c r="AA230" s="29"/>
      <c r="AI230" s="45"/>
    </row>
    <row r="231">
      <c r="B231" s="24">
        <v>191.0</v>
      </c>
      <c r="C231" s="25" t="s">
        <v>127</v>
      </c>
      <c r="D231" s="26">
        <v>595.0</v>
      </c>
      <c r="K231" s="29"/>
      <c r="S231" s="29"/>
      <c r="T231" s="26">
        <v>596.0</v>
      </c>
      <c r="AA231" s="29"/>
      <c r="AI231" s="45"/>
    </row>
    <row r="232">
      <c r="B232" s="24">
        <v>192.0</v>
      </c>
      <c r="C232" s="25" t="s">
        <v>127</v>
      </c>
      <c r="D232" s="26">
        <v>595.0</v>
      </c>
      <c r="K232" s="29"/>
      <c r="S232" s="29"/>
      <c r="T232" s="26">
        <v>596.0</v>
      </c>
      <c r="AA232" s="29"/>
      <c r="AI232" s="45"/>
    </row>
    <row r="233">
      <c r="B233" s="24">
        <v>193.0</v>
      </c>
      <c r="C233" s="25" t="s">
        <v>127</v>
      </c>
      <c r="D233" s="26">
        <v>595.0</v>
      </c>
      <c r="K233" s="29"/>
      <c r="S233" s="29"/>
      <c r="T233" s="26">
        <v>596.0</v>
      </c>
      <c r="AA233" s="29"/>
      <c r="AI233" s="45"/>
    </row>
    <row r="234">
      <c r="B234" s="24">
        <v>194.0</v>
      </c>
      <c r="C234" s="25" t="s">
        <v>127</v>
      </c>
      <c r="D234" s="26">
        <v>595.0</v>
      </c>
      <c r="K234" s="29"/>
      <c r="S234" s="29"/>
      <c r="T234" s="26">
        <v>596.0</v>
      </c>
      <c r="AA234" s="29"/>
      <c r="AI234" s="45"/>
    </row>
    <row r="235">
      <c r="B235" s="24">
        <v>195.0</v>
      </c>
      <c r="C235" s="25" t="s">
        <v>127</v>
      </c>
      <c r="D235" s="26">
        <v>595.0</v>
      </c>
      <c r="K235" s="29"/>
      <c r="S235" s="29"/>
      <c r="T235" s="26">
        <v>596.0</v>
      </c>
      <c r="AA235" s="29"/>
      <c r="AI235" s="45"/>
    </row>
    <row r="236">
      <c r="B236" s="24">
        <v>196.0</v>
      </c>
      <c r="C236" s="25" t="s">
        <v>127</v>
      </c>
      <c r="D236" s="26">
        <v>595.0</v>
      </c>
      <c r="K236" s="29"/>
      <c r="S236" s="29"/>
      <c r="T236" s="26">
        <v>596.0</v>
      </c>
      <c r="AA236" s="29"/>
      <c r="AI236" s="45"/>
    </row>
    <row r="237">
      <c r="B237" s="24">
        <v>197.0</v>
      </c>
      <c r="C237" s="25" t="s">
        <v>127</v>
      </c>
      <c r="D237" s="26">
        <v>595.0</v>
      </c>
      <c r="K237" s="29"/>
      <c r="S237" s="29"/>
      <c r="T237" s="26">
        <v>596.0</v>
      </c>
      <c r="AA237" s="29"/>
      <c r="AI237" s="45"/>
    </row>
    <row r="238">
      <c r="B238" s="24">
        <v>198.0</v>
      </c>
      <c r="C238" s="25" t="s">
        <v>127</v>
      </c>
      <c r="D238" s="26">
        <v>595.0</v>
      </c>
      <c r="K238" s="29"/>
      <c r="S238" s="29"/>
      <c r="T238" s="26">
        <v>596.0</v>
      </c>
      <c r="AA238" s="29"/>
      <c r="AI238" s="45"/>
    </row>
    <row r="239">
      <c r="B239" s="24">
        <v>199.0</v>
      </c>
      <c r="C239" s="25" t="s">
        <v>127</v>
      </c>
      <c r="D239" s="26">
        <v>595.0</v>
      </c>
      <c r="K239" s="29"/>
      <c r="S239" s="29"/>
      <c r="T239" s="26">
        <v>596.0</v>
      </c>
      <c r="AA239" s="29"/>
      <c r="AI239" s="45"/>
    </row>
    <row r="240">
      <c r="B240" s="24">
        <v>200.0</v>
      </c>
      <c r="C240" s="25" t="s">
        <v>127</v>
      </c>
      <c r="D240" s="26">
        <v>595.0</v>
      </c>
      <c r="K240" s="29"/>
      <c r="S240" s="29"/>
      <c r="T240" s="26">
        <v>596.0</v>
      </c>
      <c r="AA240" s="29"/>
      <c r="AI240" s="45"/>
    </row>
    <row r="241">
      <c r="B241" s="24">
        <v>201.0</v>
      </c>
      <c r="C241" s="25" t="s">
        <v>127</v>
      </c>
      <c r="D241" s="26">
        <v>595.0</v>
      </c>
      <c r="K241" s="29"/>
      <c r="S241" s="29"/>
      <c r="T241" s="26">
        <v>596.0</v>
      </c>
      <c r="AA241" s="29"/>
      <c r="AI241" s="45"/>
    </row>
    <row r="242">
      <c r="B242" s="24">
        <v>202.0</v>
      </c>
      <c r="C242" s="25" t="s">
        <v>127</v>
      </c>
      <c r="D242" s="26">
        <v>595.0</v>
      </c>
      <c r="K242" s="29"/>
      <c r="S242" s="29"/>
      <c r="T242" s="26">
        <v>596.0</v>
      </c>
      <c r="AA242" s="29"/>
      <c r="AI242" s="45"/>
    </row>
    <row r="243">
      <c r="B243" s="24">
        <v>203.0</v>
      </c>
      <c r="C243" s="25" t="s">
        <v>127</v>
      </c>
      <c r="D243" s="26">
        <v>595.0</v>
      </c>
      <c r="K243" s="29"/>
      <c r="S243" s="29"/>
      <c r="T243" s="26">
        <v>596.0</v>
      </c>
      <c r="AA243" s="29"/>
      <c r="AI243" s="45"/>
    </row>
    <row r="244">
      <c r="B244" s="24">
        <v>204.0</v>
      </c>
      <c r="C244" s="25" t="s">
        <v>127</v>
      </c>
      <c r="D244" s="26">
        <v>595.0</v>
      </c>
      <c r="K244" s="29"/>
      <c r="S244" s="29"/>
      <c r="T244" s="26">
        <v>596.0</v>
      </c>
      <c r="AA244" s="29"/>
      <c r="AI244" s="45"/>
    </row>
    <row r="245">
      <c r="B245" s="24">
        <v>205.0</v>
      </c>
      <c r="C245" s="25" t="s">
        <v>127</v>
      </c>
      <c r="D245" s="26">
        <v>595.0</v>
      </c>
      <c r="K245" s="29"/>
      <c r="S245" s="29"/>
      <c r="T245" s="26">
        <v>596.0</v>
      </c>
      <c r="AA245" s="29"/>
      <c r="AI245" s="45"/>
    </row>
    <row r="246">
      <c r="B246" s="24">
        <v>206.0</v>
      </c>
      <c r="C246" s="25" t="s">
        <v>127</v>
      </c>
      <c r="D246" s="26">
        <v>595.0</v>
      </c>
      <c r="K246" s="29"/>
      <c r="S246" s="29"/>
      <c r="T246" s="26">
        <v>596.0</v>
      </c>
      <c r="AA246" s="29"/>
      <c r="AI246" s="45"/>
    </row>
    <row r="247">
      <c r="B247" s="24">
        <v>207.0</v>
      </c>
      <c r="C247" s="25" t="s">
        <v>127</v>
      </c>
      <c r="D247" s="26">
        <v>595.0</v>
      </c>
      <c r="K247" s="29"/>
      <c r="S247" s="29"/>
      <c r="T247" s="26">
        <v>596.0</v>
      </c>
      <c r="AA247" s="29"/>
      <c r="AI247" s="45"/>
    </row>
    <row r="248">
      <c r="B248" s="24">
        <v>208.0</v>
      </c>
      <c r="C248" s="25" t="s">
        <v>127</v>
      </c>
      <c r="D248" s="26">
        <v>595.0</v>
      </c>
      <c r="K248" s="29"/>
      <c r="S248" s="29"/>
      <c r="T248" s="26">
        <v>596.0</v>
      </c>
      <c r="AA248" s="29"/>
      <c r="AI248" s="45"/>
    </row>
    <row r="249">
      <c r="B249" s="24">
        <v>209.0</v>
      </c>
      <c r="C249" s="25" t="s">
        <v>127</v>
      </c>
      <c r="D249" s="26">
        <v>595.0</v>
      </c>
      <c r="K249" s="29"/>
      <c r="S249" s="29"/>
      <c r="T249" s="26">
        <v>596.0</v>
      </c>
      <c r="AA249" s="29"/>
      <c r="AI249" s="45"/>
    </row>
    <row r="250">
      <c r="B250" s="24">
        <v>210.0</v>
      </c>
      <c r="C250" s="25" t="s">
        <v>127</v>
      </c>
      <c r="D250" s="26">
        <v>595.0</v>
      </c>
      <c r="K250" s="29"/>
      <c r="S250" s="29"/>
      <c r="T250" s="26">
        <v>596.0</v>
      </c>
      <c r="AA250" s="29"/>
      <c r="AI250" s="45"/>
    </row>
    <row r="251">
      <c r="B251" s="24">
        <v>211.0</v>
      </c>
      <c r="C251" s="25" t="s">
        <v>127</v>
      </c>
      <c r="D251" s="26">
        <v>595.0</v>
      </c>
      <c r="K251" s="29"/>
      <c r="S251" s="29"/>
      <c r="T251" s="26">
        <v>596.0</v>
      </c>
      <c r="AA251" s="29"/>
      <c r="AI251" s="45"/>
    </row>
    <row r="252">
      <c r="B252" s="24">
        <v>212.0</v>
      </c>
      <c r="C252" s="25" t="s">
        <v>127</v>
      </c>
      <c r="D252" s="26">
        <v>595.0</v>
      </c>
      <c r="K252" s="29"/>
      <c r="S252" s="29"/>
      <c r="T252" s="26">
        <v>596.0</v>
      </c>
      <c r="AA252" s="29"/>
      <c r="AI252" s="45"/>
    </row>
    <row r="253">
      <c r="B253" s="24">
        <v>213.0</v>
      </c>
      <c r="C253" s="25" t="s">
        <v>127</v>
      </c>
      <c r="D253" s="26">
        <v>595.0</v>
      </c>
      <c r="K253" s="29"/>
      <c r="S253" s="29"/>
      <c r="T253" s="26">
        <v>596.0</v>
      </c>
      <c r="AA253" s="29"/>
      <c r="AI253" s="45"/>
    </row>
    <row r="254">
      <c r="B254" s="24">
        <v>214.0</v>
      </c>
      <c r="C254" s="25" t="s">
        <v>127</v>
      </c>
      <c r="D254" s="26">
        <v>595.0</v>
      </c>
      <c r="K254" s="29"/>
      <c r="S254" s="29"/>
      <c r="T254" s="26">
        <v>596.0</v>
      </c>
      <c r="AA254" s="29"/>
      <c r="AI254" s="45"/>
    </row>
    <row r="255">
      <c r="B255" s="24">
        <v>215.0</v>
      </c>
      <c r="C255" s="25" t="s">
        <v>127</v>
      </c>
      <c r="D255" s="26">
        <v>595.0</v>
      </c>
      <c r="K255" s="29"/>
      <c r="S255" s="29"/>
      <c r="T255" s="26">
        <v>596.0</v>
      </c>
      <c r="AA255" s="29"/>
      <c r="AI255" s="45"/>
    </row>
    <row r="256">
      <c r="B256" s="24">
        <v>216.0</v>
      </c>
      <c r="C256" s="25" t="s">
        <v>127</v>
      </c>
      <c r="D256" s="26">
        <v>595.0</v>
      </c>
      <c r="K256" s="29"/>
      <c r="S256" s="29"/>
      <c r="T256" s="26">
        <v>596.0</v>
      </c>
      <c r="AA256" s="29"/>
      <c r="AI256" s="45"/>
    </row>
    <row r="257">
      <c r="B257" s="24">
        <v>217.0</v>
      </c>
      <c r="C257" s="25" t="s">
        <v>127</v>
      </c>
      <c r="D257" s="26">
        <v>595.0</v>
      </c>
      <c r="K257" s="29"/>
      <c r="S257" s="29"/>
      <c r="T257" s="26">
        <v>596.0</v>
      </c>
      <c r="AA257" s="29"/>
      <c r="AI257" s="45"/>
    </row>
    <row r="258">
      <c r="B258" s="24">
        <v>218.0</v>
      </c>
      <c r="C258" s="25" t="s">
        <v>127</v>
      </c>
      <c r="D258" s="26">
        <v>595.0</v>
      </c>
      <c r="K258" s="29"/>
      <c r="S258" s="29"/>
      <c r="T258" s="26">
        <v>596.0</v>
      </c>
      <c r="AA258" s="29"/>
      <c r="AI258" s="45"/>
    </row>
    <row r="259">
      <c r="B259" s="24">
        <v>219.0</v>
      </c>
      <c r="C259" s="25" t="s">
        <v>127</v>
      </c>
      <c r="D259" s="26">
        <v>595.0</v>
      </c>
      <c r="K259" s="29"/>
      <c r="S259" s="29"/>
      <c r="T259" s="26">
        <v>596.0</v>
      </c>
      <c r="AA259" s="29"/>
      <c r="AI259" s="45"/>
    </row>
    <row r="260">
      <c r="B260" s="24">
        <v>220.0</v>
      </c>
      <c r="C260" s="25" t="s">
        <v>127</v>
      </c>
      <c r="D260" s="26">
        <v>595.0</v>
      </c>
      <c r="K260" s="29"/>
      <c r="S260" s="29"/>
      <c r="T260" s="26">
        <v>596.0</v>
      </c>
      <c r="AA260" s="29"/>
      <c r="AI260" s="45"/>
    </row>
    <row r="261">
      <c r="B261" s="24">
        <v>221.0</v>
      </c>
      <c r="C261" s="25" t="s">
        <v>127</v>
      </c>
      <c r="D261" s="26">
        <v>595.0</v>
      </c>
      <c r="K261" s="29"/>
      <c r="S261" s="29"/>
      <c r="T261" s="26">
        <v>596.0</v>
      </c>
      <c r="AA261" s="29"/>
      <c r="AI261" s="45"/>
    </row>
    <row r="262">
      <c r="B262" s="24">
        <v>222.0</v>
      </c>
      <c r="C262" s="25" t="s">
        <v>127</v>
      </c>
      <c r="D262" s="26">
        <v>595.0</v>
      </c>
      <c r="K262" s="29"/>
      <c r="S262" s="29"/>
      <c r="T262" s="26">
        <v>596.0</v>
      </c>
      <c r="AA262" s="29"/>
      <c r="AI262" s="45"/>
    </row>
    <row r="263">
      <c r="B263" s="24">
        <v>223.0</v>
      </c>
      <c r="C263" s="25" t="s">
        <v>127</v>
      </c>
      <c r="D263" s="26">
        <v>595.0</v>
      </c>
      <c r="K263" s="29"/>
      <c r="S263" s="29"/>
      <c r="T263" s="26">
        <v>596.0</v>
      </c>
      <c r="AA263" s="29"/>
      <c r="AI263" s="45"/>
    </row>
    <row r="264">
      <c r="B264" s="24">
        <v>224.0</v>
      </c>
      <c r="C264" s="25" t="s">
        <v>127</v>
      </c>
      <c r="D264" s="26">
        <v>595.0</v>
      </c>
      <c r="K264" s="29"/>
      <c r="S264" s="29"/>
      <c r="T264" s="26">
        <v>596.0</v>
      </c>
      <c r="AA264" s="29"/>
      <c r="AI264" s="45"/>
    </row>
    <row r="265">
      <c r="B265" s="24">
        <v>225.0</v>
      </c>
      <c r="C265" s="25" t="s">
        <v>127</v>
      </c>
      <c r="D265" s="26">
        <v>595.0</v>
      </c>
      <c r="K265" s="29"/>
      <c r="S265" s="29"/>
      <c r="T265" s="26">
        <v>596.0</v>
      </c>
      <c r="AA265" s="29"/>
      <c r="AI265" s="45"/>
    </row>
    <row r="266">
      <c r="B266" s="24">
        <v>226.0</v>
      </c>
      <c r="C266" s="25" t="s">
        <v>127</v>
      </c>
      <c r="D266" s="26">
        <v>595.0</v>
      </c>
      <c r="K266" s="29"/>
      <c r="S266" s="29"/>
      <c r="T266" s="26">
        <v>596.0</v>
      </c>
      <c r="AA266" s="29"/>
      <c r="AI266" s="45"/>
    </row>
    <row r="267">
      <c r="B267" s="24">
        <v>227.0</v>
      </c>
      <c r="C267" s="25" t="s">
        <v>127</v>
      </c>
      <c r="D267" s="26">
        <v>595.0</v>
      </c>
      <c r="K267" s="29"/>
      <c r="S267" s="29"/>
      <c r="T267" s="26">
        <v>596.0</v>
      </c>
      <c r="AA267" s="29"/>
      <c r="AI267" s="45"/>
    </row>
    <row r="268">
      <c r="B268" s="24">
        <v>228.0</v>
      </c>
      <c r="C268" s="25" t="s">
        <v>127</v>
      </c>
      <c r="D268" s="26">
        <v>595.0</v>
      </c>
      <c r="K268" s="29"/>
      <c r="S268" s="29"/>
      <c r="T268" s="26">
        <v>596.0</v>
      </c>
      <c r="AA268" s="29"/>
      <c r="AI268" s="45"/>
    </row>
    <row r="269">
      <c r="B269" s="24">
        <v>229.0</v>
      </c>
      <c r="C269" s="25" t="s">
        <v>127</v>
      </c>
      <c r="D269" s="26">
        <v>595.0</v>
      </c>
      <c r="K269" s="29"/>
      <c r="S269" s="29"/>
      <c r="T269" s="26">
        <v>596.0</v>
      </c>
      <c r="AA269" s="29"/>
      <c r="AI269" s="45"/>
    </row>
    <row r="270">
      <c r="B270" s="24">
        <v>230.0</v>
      </c>
      <c r="C270" s="25" t="s">
        <v>127</v>
      </c>
      <c r="D270" s="26">
        <v>595.0</v>
      </c>
      <c r="K270" s="29"/>
      <c r="S270" s="29"/>
      <c r="T270" s="26">
        <v>596.0</v>
      </c>
      <c r="AA270" s="29"/>
      <c r="AI270" s="45"/>
    </row>
    <row r="271">
      <c r="B271" s="24">
        <v>231.0</v>
      </c>
      <c r="C271" s="25" t="s">
        <v>127</v>
      </c>
      <c r="D271" s="26">
        <v>595.0</v>
      </c>
      <c r="K271" s="29"/>
      <c r="S271" s="29"/>
      <c r="T271" s="26">
        <v>596.0</v>
      </c>
      <c r="AA271" s="29"/>
      <c r="AI271" s="45"/>
    </row>
    <row r="272">
      <c r="B272" s="24">
        <v>232.0</v>
      </c>
      <c r="C272" s="25" t="s">
        <v>127</v>
      </c>
      <c r="D272" s="26">
        <v>595.0</v>
      </c>
      <c r="K272" s="29"/>
      <c r="S272" s="29"/>
      <c r="T272" s="26">
        <v>596.0</v>
      </c>
      <c r="AA272" s="29"/>
      <c r="AI272" s="45"/>
    </row>
    <row r="273">
      <c r="B273" s="24">
        <v>233.0</v>
      </c>
      <c r="C273" s="25" t="s">
        <v>127</v>
      </c>
      <c r="D273" s="26">
        <v>595.0</v>
      </c>
      <c r="K273" s="29"/>
      <c r="S273" s="29"/>
      <c r="T273" s="26">
        <v>596.0</v>
      </c>
      <c r="AA273" s="29"/>
      <c r="AI273" s="45"/>
    </row>
    <row r="274">
      <c r="B274" s="24">
        <v>234.0</v>
      </c>
      <c r="C274" s="25" t="s">
        <v>127</v>
      </c>
      <c r="D274" s="26">
        <v>595.0</v>
      </c>
      <c r="K274" s="29"/>
      <c r="S274" s="29"/>
      <c r="T274" s="26">
        <v>596.0</v>
      </c>
      <c r="AA274" s="29"/>
      <c r="AI274" s="45"/>
    </row>
    <row r="275">
      <c r="B275" s="24">
        <v>235.0</v>
      </c>
      <c r="C275" s="25" t="s">
        <v>127</v>
      </c>
      <c r="D275" s="26">
        <v>595.0</v>
      </c>
      <c r="K275" s="29"/>
      <c r="S275" s="29"/>
      <c r="T275" s="26">
        <v>596.0</v>
      </c>
      <c r="AA275" s="29"/>
      <c r="AI275" s="45"/>
    </row>
    <row r="276">
      <c r="B276" s="24">
        <v>236.0</v>
      </c>
      <c r="C276" s="25" t="s">
        <v>127</v>
      </c>
      <c r="D276" s="26">
        <v>595.0</v>
      </c>
      <c r="K276" s="29"/>
      <c r="S276" s="29"/>
      <c r="T276" s="26">
        <v>596.0</v>
      </c>
      <c r="AA276" s="29"/>
      <c r="AI276" s="45"/>
    </row>
    <row r="277">
      <c r="B277" s="24">
        <v>237.0</v>
      </c>
      <c r="C277" s="25" t="s">
        <v>127</v>
      </c>
      <c r="D277" s="26">
        <v>595.0</v>
      </c>
      <c r="K277" s="29"/>
      <c r="S277" s="29"/>
      <c r="T277" s="26">
        <v>596.0</v>
      </c>
      <c r="AA277" s="29"/>
      <c r="AI277" s="45"/>
    </row>
    <row r="278">
      <c r="B278" s="24">
        <v>238.0</v>
      </c>
      <c r="C278" s="25" t="s">
        <v>127</v>
      </c>
      <c r="D278" s="26">
        <v>595.0</v>
      </c>
      <c r="K278" s="29"/>
      <c r="S278" s="29"/>
      <c r="T278" s="26">
        <v>596.0</v>
      </c>
      <c r="AA278" s="29"/>
      <c r="AI278" s="45"/>
    </row>
    <row r="279">
      <c r="B279" s="24">
        <v>239.0</v>
      </c>
      <c r="C279" s="25" t="s">
        <v>127</v>
      </c>
      <c r="D279" s="26">
        <v>595.0</v>
      </c>
      <c r="K279" s="29"/>
      <c r="S279" s="29"/>
      <c r="T279" s="26">
        <v>596.0</v>
      </c>
      <c r="AA279" s="29"/>
      <c r="AI279" s="45"/>
    </row>
    <row r="280">
      <c r="B280" s="24">
        <v>240.0</v>
      </c>
      <c r="C280" s="25" t="s">
        <v>127</v>
      </c>
      <c r="D280" s="26">
        <v>595.0</v>
      </c>
      <c r="K280" s="29"/>
      <c r="S280" s="29"/>
      <c r="T280" s="26">
        <v>596.0</v>
      </c>
      <c r="AA280" s="29"/>
      <c r="AI280" s="45"/>
    </row>
    <row r="281">
      <c r="B281" s="24">
        <v>241.0</v>
      </c>
      <c r="C281" s="25" t="s">
        <v>127</v>
      </c>
      <c r="D281" s="26">
        <v>595.0</v>
      </c>
      <c r="K281" s="29"/>
      <c r="S281" s="29"/>
      <c r="T281" s="26">
        <v>596.0</v>
      </c>
      <c r="AA281" s="29"/>
      <c r="AI281" s="45"/>
    </row>
    <row r="282">
      <c r="B282" s="24">
        <v>242.0</v>
      </c>
      <c r="C282" s="25" t="s">
        <v>127</v>
      </c>
      <c r="D282" s="26">
        <v>595.0</v>
      </c>
      <c r="K282" s="29"/>
      <c r="S282" s="29"/>
      <c r="T282" s="26">
        <v>596.0</v>
      </c>
      <c r="AA282" s="29"/>
      <c r="AI282" s="45"/>
    </row>
    <row r="283">
      <c r="B283" s="24">
        <v>243.0</v>
      </c>
      <c r="C283" s="25" t="s">
        <v>127</v>
      </c>
      <c r="D283" s="26">
        <v>595.0</v>
      </c>
      <c r="K283" s="29"/>
      <c r="S283" s="29"/>
      <c r="T283" s="26">
        <v>596.0</v>
      </c>
      <c r="AA283" s="29"/>
      <c r="AI283" s="45"/>
    </row>
    <row r="284">
      <c r="B284" s="24">
        <v>244.0</v>
      </c>
      <c r="C284" s="25" t="s">
        <v>127</v>
      </c>
      <c r="D284" s="26">
        <v>595.0</v>
      </c>
      <c r="K284" s="29"/>
      <c r="S284" s="29"/>
      <c r="T284" s="26">
        <v>596.0</v>
      </c>
      <c r="AA284" s="29"/>
      <c r="AI284" s="45"/>
    </row>
    <row r="285">
      <c r="B285" s="24">
        <v>245.0</v>
      </c>
      <c r="C285" s="25" t="s">
        <v>127</v>
      </c>
      <c r="D285" s="26">
        <v>595.0</v>
      </c>
      <c r="K285" s="29"/>
      <c r="S285" s="29"/>
      <c r="T285" s="26">
        <v>596.0</v>
      </c>
      <c r="AA285" s="29"/>
      <c r="AI285" s="45"/>
    </row>
    <row r="286">
      <c r="B286" s="24">
        <v>246.0</v>
      </c>
      <c r="C286" s="25" t="s">
        <v>127</v>
      </c>
      <c r="D286" s="26">
        <v>595.0</v>
      </c>
      <c r="K286" s="29"/>
      <c r="S286" s="29"/>
      <c r="T286" s="26">
        <v>596.0</v>
      </c>
      <c r="AA286" s="29"/>
      <c r="AI286" s="45"/>
    </row>
    <row r="287">
      <c r="B287" s="24">
        <v>247.0</v>
      </c>
      <c r="C287" s="25" t="s">
        <v>127</v>
      </c>
      <c r="D287" s="26">
        <v>595.0</v>
      </c>
      <c r="K287" s="29"/>
      <c r="S287" s="29"/>
      <c r="T287" s="26">
        <v>596.0</v>
      </c>
      <c r="AA287" s="29"/>
      <c r="AI287" s="45"/>
    </row>
    <row r="288">
      <c r="B288" s="24">
        <v>248.0</v>
      </c>
      <c r="C288" s="25" t="s">
        <v>127</v>
      </c>
      <c r="D288" s="26">
        <v>595.0</v>
      </c>
      <c r="K288" s="29"/>
      <c r="S288" s="29"/>
      <c r="T288" s="26">
        <v>596.0</v>
      </c>
      <c r="AA288" s="29"/>
      <c r="AI288" s="45"/>
    </row>
    <row r="289">
      <c r="B289" s="24">
        <v>249.0</v>
      </c>
      <c r="C289" s="25" t="s">
        <v>127</v>
      </c>
      <c r="D289" s="26">
        <v>595.0</v>
      </c>
      <c r="K289" s="29"/>
      <c r="S289" s="29"/>
      <c r="T289" s="26">
        <v>596.0</v>
      </c>
      <c r="AA289" s="29"/>
      <c r="AI289" s="45"/>
    </row>
    <row r="290">
      <c r="B290" s="24">
        <v>250.0</v>
      </c>
      <c r="C290" s="25" t="s">
        <v>127</v>
      </c>
      <c r="D290" s="26">
        <v>595.0</v>
      </c>
      <c r="K290" s="29"/>
      <c r="S290" s="29"/>
      <c r="T290" s="26">
        <v>596.0</v>
      </c>
      <c r="AA290" s="29"/>
      <c r="AI290" s="45"/>
    </row>
    <row r="291">
      <c r="B291" s="24">
        <v>251.0</v>
      </c>
      <c r="C291" s="25" t="s">
        <v>127</v>
      </c>
      <c r="D291" s="26">
        <v>595.0</v>
      </c>
      <c r="K291" s="29"/>
      <c r="S291" s="29"/>
      <c r="T291" s="26">
        <v>596.0</v>
      </c>
      <c r="AA291" s="29"/>
      <c r="AI291" s="45"/>
    </row>
    <row r="292">
      <c r="B292" s="24">
        <v>252.0</v>
      </c>
      <c r="C292" s="25" t="s">
        <v>127</v>
      </c>
      <c r="D292" s="26">
        <v>595.0</v>
      </c>
      <c r="K292" s="29"/>
      <c r="S292" s="29"/>
      <c r="T292" s="26">
        <v>596.0</v>
      </c>
      <c r="AA292" s="29"/>
      <c r="AI292" s="45"/>
    </row>
    <row r="293">
      <c r="B293" s="24">
        <v>253.0</v>
      </c>
      <c r="C293" s="25" t="s">
        <v>127</v>
      </c>
      <c r="D293" s="26">
        <v>595.0</v>
      </c>
      <c r="K293" s="29"/>
      <c r="S293" s="29"/>
      <c r="T293" s="26">
        <v>596.0</v>
      </c>
      <c r="AA293" s="29"/>
      <c r="AI293" s="45"/>
    </row>
    <row r="294">
      <c r="B294" s="38">
        <v>254.0</v>
      </c>
      <c r="C294" s="39" t="s">
        <v>127</v>
      </c>
      <c r="D294" s="40">
        <v>595.0</v>
      </c>
      <c r="E294" s="40"/>
      <c r="F294" s="46"/>
      <c r="G294" s="46"/>
      <c r="H294" s="46"/>
      <c r="I294" s="46"/>
      <c r="J294" s="46"/>
      <c r="K294" s="47"/>
      <c r="L294" s="46"/>
      <c r="M294" s="46"/>
      <c r="N294" s="46"/>
      <c r="O294" s="46"/>
      <c r="P294" s="46"/>
      <c r="Q294" s="46"/>
      <c r="R294" s="46"/>
      <c r="S294" s="47"/>
      <c r="T294" s="40">
        <v>596.0</v>
      </c>
      <c r="U294" s="46"/>
      <c r="V294" s="46"/>
      <c r="W294" s="46"/>
      <c r="X294" s="46"/>
      <c r="Y294" s="46"/>
      <c r="Z294" s="46"/>
      <c r="AA294" s="47"/>
      <c r="AB294" s="46"/>
      <c r="AC294" s="46"/>
      <c r="AD294" s="46"/>
      <c r="AE294" s="46"/>
      <c r="AF294" s="46"/>
      <c r="AG294" s="46"/>
      <c r="AH294" s="46"/>
      <c r="AI294" s="48"/>
    </row>
  </sheetData>
  <mergeCells count="10">
    <mergeCell ref="L38:S38"/>
    <mergeCell ref="T38:AA38"/>
    <mergeCell ref="AB38:AI38"/>
    <mergeCell ref="B4:B6"/>
    <mergeCell ref="C4:M34"/>
    <mergeCell ref="P4:Q6"/>
    <mergeCell ref="R4:AB34"/>
    <mergeCell ref="B38:B39"/>
    <mergeCell ref="C38:C39"/>
    <mergeCell ref="D38:K3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3" max="3" width="18.63"/>
    <col customWidth="1" min="5" max="36" width="7.63"/>
  </cols>
  <sheetData>
    <row r="4">
      <c r="B4" s="1" t="s">
        <v>0</v>
      </c>
      <c r="C4" s="2" t="str">
        <f>IFERROR(__xludf.DUMMYFUNCTION("CONCATENATE(JOIN("""", TOROW(MAP({D39:AJ73}, LAMBDA(cell, IF(ISBLANK(cell), DEC2HEX(65535), CONCATENATE(RIGHT(DEC2HEX(cell, 4), 2), LEFT(DEC2HEX(cell, 4), 2))   ) )))), ""0000"")       "),"000000000000FFFFFFFFFFFFFFFFFFFFFFFF01000100FFFFFFFFFFFFFFFFFFFFFFFFFFFFFFFFFFFFFFFFFFFFFFFFFFFFFFFFFFFFFFFFFFFFFFFFFFFFFFFFFFFFFFFF00000200020003000300040004000500050006000600070007000800080009000900FFFFFFFFFFFFFFFFFFFFFFFFFFFFFFFFFFFFFFFFFFFFFFFFFFFFFFF"&amp;"FFFFFFFFF00000A000A00FFFFFFFFFFFFFFFFFFFFFFFFFFFFFFFFFFFFFFFFFFFFFFFFFFFFFFFFFFFFFFFFFFFFFFFFFFFFFFFFFFFFFFFFFFFFFFFFFFFFFFFFFFFFFFFFFFFFFFFF00000B000B00FFFFFFFFFFFFFFFFFFFFFFFFFFFFFFFFFFFFFFFFFFFFFFFFFFFFFFFFFFFFFFFFFFFFFFFFFFFFFFFFFFFFFFFFFFFFFFFFFFFFFF"&amp;"FFFFFFFFFFFFFFFFFF00000C000D00FFFFFFFFFFFFFFFFFFFFFFFFFFFFFFFFFFFFFFFFFFFFFFFFFFFFFFFFFFFFFFFFFFFFFFFFFFFFFFFFFFFFFFFFFFFFFFFFFFFFFFFFFFFFFFFFFFFFFFFF00000E000F00FFFFFFFFFFFFFFFFFFFFFFFF10001100FFFFFFFFFFFFFFFFFFFFFFFFFFFFFFFFFFFFFFFFFFFFFFFFFFFFFFFFFFFFF"&amp;"FFFFFFFFFFFFFFFFFFFFFFFFFFF00000E000F000E000F000E000F000E000F0010001100100011001000110010001100FFFFFFFFFFFFFFFFFFFFFFFFFFFFFFFFFFFFFFFFFFFFFFFFFFFFFFFFFFFFFFFF000012001300FFFFFFFFFFFFFFFFFFFFFFFF14001500FFFFFFFFFFFFFFFFFFFFFFFFFFFFFFFFFFFFFFFFFFFFFFFFFFFF"&amp;"FFFFFFFFFFFFFFFFFFFFFFFFFFFFFFFFFFFF000016001600FFFFFFFFFFFFFFFFFFFFFFFFFFFFFFFFFFFFFFFFFFFFFFFFFFFFFFFF17001700FFFFFFFFFFFFFFFFFFFFFFFFFFFFFFFFFFFFFFFFFFFFFFFFFFFFFFFF000018001800FFFFFFFFFFFFFFFFFFFFFFFFFFFFFFFFFFFFFFFFFFFFFFFFFFFFFFFF19001900FFFFFFFFFFF"&amp;"FFFFFFFFFFFFFFFFFFFFFFFFFFFFFFFFFFFFFFFFFFFFF00001A001A00FFFFFFFFFFFFFFFFFFFFFFFFFFFFFFFFFFFFFFFFFFFFFFFFFFFFFFFFFFFFFFFFFFFFFFFFFFFFFFFFFFFFFFFFFFFFFFFFFFFFFFFFFFFFFFFFFFFFFFFF00001B001B00FFFFFFFFFFFFFFFFFFFFFFFFFFFFFFFFFFFFFFFFFFFFFFFFFFFFFFFFFFFFFFFFFF"&amp;"FFFFFFFFFFFFFFFFFFFFFFFFFFFFFFFFFFFFFFFFFFFFFFFFFFFFFF00001C001C00FFFFFFFFFFFFFFFFFFFFFFFF1D001D00FFFFFFFFFFFFFFFFFFFFFFFFFFFFFFFFFFFFFFFFFFFFFFFFFFFFFFFFFFFFFFFFFFFFFFFFFFFFFFFFFFFFFFFF00001E001E00FFFFFFFFFFFFFFFFFFFFFFFFFFFFFFFFFFFFFFFFFFFFFFFFFFFFFFFFF"&amp;"FFFFFFFFFFFFFFFFFFFFFFFFFFFFFFFFFFFFFFFFFFFFFFFFFFFFFFFFFFFFFFF00001F001F00FFFFFFFFFFFFFFFFFFFFFFFFFFFFFFFFFFFFFFFFFFFFFFFFFFFFFFFFFFFFFFFFFFFFFFFFFFFFFFFFFFFFFFFFFFFFFFFFFFFFFFFFFFFFFFFFFFFFFFFF000020002000FFFFFFFFFFFFFFFFFFFFFFFFFFFFFFFFFFFFFFFFFFFFFFFF"&amp;"FFFFFFFFFFFFFFFFFFFFFFFFFFFFFFFFFFFFFFFFFFFFFFFFFFFFFFFFFFFFFFFFFFFFFFFF000021002100FFFFFFFFFFFFFFFFFFFFFFFFFFFFFFFFFFFFFFFFFFFFFFFFFFFFFFFFFFFFFFFFFFFFFFFFFFFFFFFFFFFFFFFFFFFFFFFFFFFFFFFFFFFFFFFFFFFFFFFF000022002200FFFFFFFFFFFFFFFFFFFFFFFFFFFFFFFFFFFFFFF"&amp;"FFFFFFFFFFFFFFFFFFFFFFFFFFFFFFFFFFFFFFFFFFFFFFFFFFFFFFFFFFFFFFFFFFFFFFFFFFFFFFFFF000023002300FFFFFFFFFFFFFFFFFFFFFFFFFFFFFFFFFFFFFFFFFFFFFFFFFFFFFFFFFFFFFFFFFFFFFFFFFFFFFFFFFFFFFFFFFFFFFFFFFFFFFFFFFFFFFFFFFFFFFFFF000024002400FFFFFFFFFFFFFFFFFFFFFFFFFFFFFF"&amp;"FFFFFFFFFFFFFFFFFFFFFFFFFFFFFFFFFFFFFFFFFFFFFFFFFFFFFFFFFFFFFFFFFFFFFFFFFFFFFFFFFFFFFFFFFF000025002500FFFFFFFFFFFFFFFFFFFFFFFFFFFFFFFFFFFFFFFFFFFFFFFFFFFFFFFFFFFFFFFFFFFFFFFFFFFFFFFFFFFFFFFFFFFFFFFFFFFFFFFFFFFFFFFFFFFFFFFF000026002600FFFFFFFFFFFFFFFFFFFFF"&amp;"FFFFFFFFFFFFFFFFFFFFFFFFFFFFFFFFFFFFFFFFFFFFFFFFFFFFFFFFFFFFFFFFFFFFFFFFFFFFFFFFFFFFFFFFFFFFFFFFFFF00002700280029002A002B002C002D002E002F003000310032003300340035003600FFFFFFFFFFFFFFFFFFFFFFFFFFFFFFFFFFFFFFFFFFFFFFFFFFFFFFFFFFFFFFFF000037003800FFFFFFFFFFFF"&amp;"FFFFFFFFFFFF39003A00FFFFFFFFFFFFFFFFFFFFFFFFFFFFFFFFFFFFFFFFFFFFFFFFFFFFFFFFFFFFFFFFFFFFFFFFFFFFFFFFFFFFFFFF00003B003C00FFFFFFFFFFFFFFFFFFFFFFFFFFFFFFFFFFFFFFFFFFFFFFFFFFFFFFFFFFFFFFFFFFFFFFFFFFFFFFFFFFFFFFFFFFFFFFFFFFFFFFFFFFFFFFFFFFFFFFFF00003D003D00FFF"&amp;"FFFFFFFFFFFFFFFFFFFFF3E003E00FFFFFFFFFFFFFFFFFFFFFFFFFFFFFFFFFFFFFFFFFFFFFFFFFFFFFFFFFFFFFFFFFFFFFFFFFFFFFFFFFFFFFFFF00003F003F00FFFFFFFFFFFFFFFFFFFFFFFFFFFFFFFFFFFFFFFFFFFFFFFFFFFFFFFFFFFFFFFFFFFFFFFFFFFFFFFFFFFFFFFFFFFFFFFFFFFFFFFFFFFFFFFFFFFFFFFF000040"&amp;"004000FFFFFFFFFFFFFFFFFFFFFFFFFFFFFFFFFFFFFFFFFFFFFFFFFFFFFFFFFFFFFFFFFFFFFFFFFFFFFFFFFFFFFFFFFFFFFFFFFFFFFFFFFFFFFFFFFFFFFFFF000041004200FFFFFFFFFFFFFFFFFFFFFFFFFFFFFFFFFFFFFFFFFFFFFFFFFFFFFFFFFFFFFFFFFFFFFFFFFFFFFFFFFFFFFFFFFFFFFFFFFFFFFFFFFFFFFFFFFFFFF"&amp;"FFF000043004300FFFFFFFFFFFFFFFFFFFFFFFFFFFFFFFFFFFFFFFFFFFFFFFFFFFFFFFFFFFFFFFFFFFFFFFFFFFFFFFFFFFFFFFFFFFFFFFFFFFFFFFFFFFFFFFFFFFFFFFF000044004400FFFFFFFFFFFFFFFFFFFFFFFFFFFFFFFFFFFFFFFFFFFFFFFFFFFFFFFFFFFFFFFFFFFFFFFFFFFFFFFFFFFFFFFFFFFFFFFFFFFFFFFFFFFF"&amp;"FFFFFFFFFFFF000045004500FFFFFFFFFFFFFFFFFFFFFFFFFFFFFFFFFFFFFFFFFFFFFFFFFFFFFFFFFFFFFFFFFFFFFFFFFFFFFFFFFFFFFFFFFFFFFFFFFFFFFFFFFFFFFFFFFFFFFFFF000046004600FFFFFFFFFFFFFFFFFFFFFFFFFFFFFFFFFFFFFFFFFFFFFFFFFFFFFFFFFFFFFFFFFFFFFFFFFFFFFFFFFFFFFFFFFFFFFFFFFFF"&amp;"FFFFFFFFFFFFFFFFFFFFF000047004700FFFFFFFFFFFFFFFFFFFFFFFFFFFFFFFFFFFFFFFFFFFFFFFFFFFFFFFFFFFFFFFFFFFFFFFFFFFFFFFFFFFFFFFFFFFFFFFFFFFFFFFFFFFFFFFFFFFFFFFF000048004900FFFFFFFFFFFFFFFFFFFFFFFFFFFFFFFFFFFFFFFFFFFFFFFFFFFFFFFFFFFFFFFFFFFFFFFFFFFFFFFFFFFFFFFFFF"&amp;"FFFFFFFFFFFFFFFFFFFFFFFFFFFFFF0000")</f>
        <v>000000000000FFFFFFFFFFFFFFFFFFFFFFFF01000100FFFFFFFFFFFFFFFFFFFFFFFFFFFFFFFFFFFFFFFFFFFFFFFFFFFFFFFFFFFFFFFFFFFFFFFFFFFFFFFFFFFFFFFF00000200020003000300040004000500050006000600070007000800080009000900FFFFFFFFFFFFFFFFFFFFFFFFFFFFFFFFFFFFFFFFFFFFFFFFFFFFFFFFFFFFFFFF00000A000A00FFFFFFFFFFFFFFFFFFFFFFFFFFFFFFFFFFFFFFFFFFFFFFFFFFFFFFFFFFFFFFFFFFFFFFFFFFFFFFFFFFFFFFFFFFFFFFFFFFFFFFFFFFFFFFFFFFFFFFFF00000B000B00FFFFFFFFFFFFFFFFFFFFFFFFFFFFFFFFFFFFFFFFFFFFFFFFFFFFFFFFFFFFFFFFFFFFFFFFFFFFFFFFFFFFFFFFFFFFFFFFFFFFFFFFFFFFFFFFFFFFFFFF00000C000D00FFFFFFFFFFFFFFFFFFFFFFFFFFFFFFFFFFFFFFFFFFFFFFFFFFFFFFFFFFFFFFFFFFFFFFFFFFFFFFFFFFFFFFFFFFFFFFFFFFFFFFFFFFFFFFFFFFFFFFFF00000E000F00FFFFFFFFFFFFFFFFFFFFFFFF10001100FFFFFFFFFFFFFFFFFFFFFFFFFFFFFFFFFFFFFFFFFFFFFFFFFFFFFFFFFFFFFFFFFFFFFFFFFFFFFFFFFFFFFFFF00000E000F000E000F000E000F000E000F0010001100100011001000110010001100FFFFFFFFFFFFFFFFFFFFFFFFFFFFFFFFFFFFFFFFFFFFFFFFFFFFFFFFFFFFFFFF000012001300FFFFFFFFFFFFFFFFFFFFFFFF14001500FFFFFFFFFFFFFFFFFFFFFFFFFFFFFFFFFFFFFFFFFFFFFFFFFFFFFFFFFFFFFFFFFFFFFFFFFFFFFFFFFFFFFFFF000016001600FFFFFFFFFFFFFFFFFFFFFFFFFFFFFFFFFFFFFFFFFFFFFFFFFFFFFFFF17001700FFFFFFFFFFFFFFFFFFFFFFFFFFFFFFFFFFFFFFFFFFFFFFFFFFFFFFFF000018001800FFFFFFFFFFFFFFFFFFFFFFFFFFFFFFFFFFFFFFFFFFFFFFFFFFFFFFFF19001900FFFFFFFFFFFFFFFFFFFFFFFFFFFFFFFFFFFFFFFFFFFFFFFFFFFFFFFF00001A001A00FFFFFFFFFFFFFFFFFFFFFFFFFFFFFFFFFFFFFFFFFFFFFFFFFFFFFFFFFFFFFFFFFFFFFFFFFFFFFFFFFFFFFFFFFFFFFFFFFFFFFFFFFFFFFFFFFFFFFFFF00001B001B00FFFFFFFFFFFFFFFFFFFFFFFFFFFFFFFFFFFFFFFFFFFFFFFFFFFFFFFFFFFFFFFFFFFFFFFFFFFFFFFFFFFFFFFFFFFFFFFFFFFFFFFFFFFFFFFFFFFFFFFF00001C001C00FFFFFFFFFFFFFFFFFFFFFFFF1D001D00FFFFFFFFFFFFFFFFFFFFFFFFFFFFFFFFFFFFFFFFFFFFFFFFFFFFFFFFFFFFFFFFFFFFFFFFFFFFFFFFFFFFFFFF00001E001E00FFFFFFFFFFFFFFFFFFFFFFFFFFFFFFFFFFFFFFFFFFFFFFFFFFFFFFFFFFFFFFFFFFFFFFFFFFFFFFFFFFFFFFFFFFFFFFFFFFFFFFFFFFFFFFFFFFFFFFFF00001F001F00FFFFFFFFFFFFFFFFFFFFFFFFFFFFFFFFFFFFFFFFFFFFFFFFFFFFFFFFFFFFFFFFFFFFFFFFFFFFFFFFFFFFFFFFFFFFFFFFFFFFFFFFFFFFFFFFFFFFFFFF000020002000FFFFFFFFFFFFFFFFFFFFFFFFFFFFFFFFFFFFFFFFFFFFFFFFFFFFFFFFFFFFFFFFFFFFFFFFFFFFFFFFFFFFFFFFFFFFFFFFFFFFFFFFFFFFFFFFFFFFFFFF000021002100FFFFFFFFFFFFFFFFFFFFFFFFFFFFFFFFFFFFFFFFFFFFFFFFFFFFFFFFFFFFFFFFFFFFFFFFFFFFFFFFFFFFFFFFFFFFFFFFFFFFFFFFFFFFFFFFFFFFFFFF000022002200FFFFFFFFFFFFFFFFFFFFFFFFFFFFFFFFFFFFFFFFFFFFFFFFFFFFFFFFFFFFFFFFFFFFFFFFFFFFFFFFFFFFFFFFFFFFFFFFFFFFFFFFFFFFFFFFFFFFFFFF000023002300FFFFFFFFFFFFFFFFFFFFFFFFFFFFFFFFFFFFFFFFFFFFFFFFFFFFFFFFFFFFFFFFFFFFFFFFFFFFFFFFFFFFFFFFFFFFFFFFFFFFFFFFFFFFFFFFFFFFFFFF000024002400FFFFFFFFFFFFFFFFFFFFFFFFFFFFFFFFFFFFFFFFFFFFFFFFFFFFFFFFFFFFFFFFFFFFFFFFFFFFFFFFFFFFFFFFFFFFFFFFFFFFFFFFFFFFFFFFFFFFFFFF000025002500FFFFFFFFFFFFFFFFFFFFFFFFFFFFFFFFFFFFFFFFFFFFFFFFFFFFFFFFFFFFFFFFFFFFFFFFFFFFFFFFFFFFFFFFFFFFFFFFFFFFFFFFFFFFFFFFFFFFFFFF000026002600FFFFFFFFFFFFFFFFFFFFFFFFFFFFFFFFFFFFFFFFFFFFFFFFFFFFFFFFFFFFFFFFFFFFFFFFFFFFFFFFFFFFFFFFFFFFFFFFFFFFFFFFFFFFFFFFFFFFFFFF00002700280029002A002B002C002D002E002F003000310032003300340035003600FFFFFFFFFFFFFFFFFFFFFFFFFFFFFFFFFFFFFFFFFFFFFFFFFFFFFFFFFFFFFFFF000037003800FFFFFFFFFFFFFFFFFFFFFFFF39003A00FFFFFFFFFFFFFFFFFFFFFFFFFFFFFFFFFFFFFFFFFFFFFFFFFFFFFFFFFFFFFFFFFFFFFFFFFFFFFFFFFFFFFFFF00003B003C00FFFFFFFFFFFFFFFFFFFFFFFFFFFFFFFFFFFFFFFFFFFFFFFFFFFFFFFFFFFFFFFFFFFFFFFFFFFFFFFFFFFFFFFFFFFFFFFFFFFFFFFFFFFFFFFFFFFFFFFF00003D003D00FFFFFFFFFFFFFFFFFFFFFFFF3E003E00FFFFFFFFFFFFFFFFFFFFFFFFFFFFFFFFFFFFFFFFFFFFFFFFFFFFFFFFFFFFFFFFFFFFFFFFFFFFFFFFFFFFFFFF00003F003F00FFFFFFFFFFFFFFFFFFFFFFFFFFFFFFFFFFFFFFFFFFFFFFFFFFFFFFFFFFFFFFFFFFFFFFFFFFFFFFFFFFFFFFFFFFFFFFFFFFFFFFFFFFFFFFFFFFFFFFFF000040004000FFFFFFFFFFFFFFFFFFFFFFFFFFFFFFFFFFFFFFFFFFFFFFFFFFFFFFFFFFFFFFFFFFFFFFFFFFFFFFFFFFFFFFFFFFFFFFFFFFFFFFFFFFFFFFFFFFFFFFFF000041004200FFFFFFFFFFFFFFFFFFFFFFFFFFFFFFFFFFFFFFFFFFFFFFFFFFFFFFFFFFFFFFFFFFFFFFFFFFFFFFFFFFFFFFFFFFFFFFFFFFFFFFFFFFFFFFFFFFFFFFFF000043004300FFFFFFFFFFFFFFFFFFFFFFFFFFFFFFFFFFFFFFFFFFFFFFFFFFFFFFFFFFFFFFFFFFFFFFFFFFFFFFFFFFFFFFFFFFFFFFFFFFFFFFFFFFFFFFFFFFFFFFFF000044004400FFFFFFFFFFFFFFFFFFFFFFFFFFFFFFFFFFFFFFFFFFFFFFFFFFFFFFFFFFFFFFFFFFFFFFFFFFFFFFFFFFFFFFFFFFFFFFFFFFFFFFFFFFFFFFFFFFFFFFFF000045004500FFFFFFFFFFFFFFFFFFFFFFFFFFFFFFFFFFFFFFFFFFFFFFFFFFFFFFFFFFFFFFFFFFFFFFFFFFFFFFFFFFFFFFFFFFFFFFFFFFFFFFFFFFFFFFFFFFFFFFFF000046004600FFFFFFFFFFFFFFFFFFFFFFFFFFFFFFFFFFFFFFFFFFFFFFFFFFFFFFFFFFFFFFFFFFFFFFFFFFFFFFFFFFFFFFFFFFFFFFFFFFFFFFFFFFFFFFFFFFFFFFFF000047004700FFFFFFFFFFFFFFFFFFFFFFFFFFFFFFFFFFFFFFFFFFFFFFFFFFFFFFFFFFFFFFFFFFFFFFFFFFFFFFFFFFFFFFFFFFFFFFFFFFFFFFFFFFFFFFFFFFFFFFFF000048004900FFFFFFFFFFFFFFFFFFFFFFFFFFFFFFFFFFFFFFFFFFFFFFFFFFFFFFFFFFFFFFFFFFFFFFFFFFFFFFFFFFFFFFFFFFFFFFFFFFFFFFFFFFFFFFFFFFFFFFFF0000</v>
      </c>
      <c r="D4" s="3"/>
      <c r="E4" s="3"/>
      <c r="F4" s="3"/>
      <c r="G4" s="3"/>
      <c r="H4" s="3"/>
      <c r="I4" s="3"/>
      <c r="J4" s="3"/>
      <c r="K4" s="3"/>
      <c r="L4" s="3"/>
      <c r="M4" s="4"/>
      <c r="P4" s="5" t="s">
        <v>1</v>
      </c>
      <c r="Q4" s="4"/>
      <c r="R4" s="2" t="str">
        <f>IFERROR(__xludf.DUMMYFUNCTION("CONCATENATE(JOIN("""", TOROW(MAP({D39:AJ82}, LAMBDA(cell, IF(ISBLANK(cell), DEC2HEX(65535), CONCATENATE(RIGHT(DEC2HEX(cell, 4), 2), LEFT(DEC2HEX(cell, 4), 2))   ) )))), ""0000"")       "),"000000000000FFFFFFFFFFFFFFFFFFFFFFFF01000100FFFFFFFFFFFFFFFFFFFFFFFFFFFFFFFFFFFFFFFFFFFFFFFFFFFFFFFFFFFFFFFFFFFFFFFFFFFFFFFFFFFFFFFF00000200020003000300040004000500050006000600070007000800080009000900FFFFFFFFFFFFFFFFFFFFFFFFFFFFFFFFFFFFFFFFFFFFFFFFFFFFFFF"&amp;"FFFFFFFFF00000A000A00FFFFFFFFFFFFFFFFFFFFFFFFFFFFFFFFFFFFFFFFFFFFFFFFFFFFFFFFFFFFFFFFFFFFFFFFFFFFFFFFFFFFFFFFFFFFFFFFFFFFFFFFFFFFFFFFFFFFFFFF00000B000B00FFFFFFFFFFFFFFFFFFFFFFFFFFFFFFFFFFFFFFFFFFFFFFFFFFFFFFFFFFFFFFFFFFFFFFFFFFFFFFFFFFFFFFFFFFFFFFFFFFFFFF"&amp;"FFFFFFFFFFFFFFFFFF00000C000D00FFFFFFFFFFFFFFFFFFFFFFFFFFFFFFFFFFFFFFFFFFFFFFFFFFFFFFFFFFFFFFFFFFFFFFFFFFFFFFFFFFFFFFFFFFFFFFFFFFFFFFFFFFFFFFFFFFFFFFFF00000E000F00FFFFFFFFFFFFFFFFFFFFFFFF10001100FFFFFFFFFFFFFFFFFFFFFFFFFFFFFFFFFFFFFFFFFFFFFFFFFFFFFFFFFFFFF"&amp;"FFFFFFFFFFFFFFFFFFFFFFFFFFF00000E000F000E000F000E000F000E000F0010001100100011001000110010001100FFFFFFFFFFFFFFFFFFFFFFFFFFFFFFFFFFFFFFFFFFFFFFFFFFFFFFFFFFFFFFFF000012001300FFFFFFFFFFFFFFFFFFFFFFFF14001500FFFFFFFFFFFFFFFFFFFFFFFFFFFFFFFFFFFFFFFFFFFFFFFFFFFF"&amp;"FFFFFFFFFFFFFFFFFFFFFFFFFFFFFFFFFFFF000016001600FFFFFFFFFFFFFFFFFFFFFFFFFFFFFFFFFFFFFFFFFFFFFFFFFFFFFFFF17001700FFFFFFFFFFFFFFFFFFFFFFFFFFFFFFFFFFFFFFFFFFFFFFFFFFFFFFFF000018001800FFFFFFFFFFFFFFFFFFFFFFFFFFFFFFFFFFFFFFFFFFFFFFFFFFFFFFFF19001900FFFFFFFFFFF"&amp;"FFFFFFFFFFFFFFFFFFFFFFFFFFFFFFFFFFFFFFFFFFFFF00001A001A00FFFFFFFFFFFFFFFFFFFFFFFFFFFFFFFFFFFFFFFFFFFFFFFFFFFFFFFFFFFFFFFFFFFFFFFFFFFFFFFFFFFFFFFFFFFFFFFFFFFFFFFFFFFFFFFFFFFFFFFF00001B001B00FFFFFFFFFFFFFFFFFFFFFFFFFFFFFFFFFFFFFFFFFFFFFFFFFFFFFFFFFFFFFFFFFF"&amp;"FFFFFFFFFFFFFFFFFFFFFFFFFFFFFFFFFFFFFFFFFFFFFFFFFFFFFF00001C001C00FFFFFFFFFFFFFFFFFFFFFFFF1D001D00FFFFFFFFFFFFFFFFFFFFFFFFFFFFFFFFFFFFFFFFFFFFFFFFFFFFFFFFFFFFFFFFFFFFFFFFFFFFFFFFFFFFFFFF00001E001E00FFFFFFFFFFFFFFFFFFFFFFFFFFFFFFFFFFFFFFFFFFFFFFFFFFFFFFFFF"&amp;"FFFFFFFFFFFFFFFFFFFFFFFFFFFFFFFFFFFFFFFFFFFFFFFFFFFFFFFFFFFFFFF00001F001F00FFFFFFFFFFFFFFFFFFFFFFFFFFFFFFFFFFFFFFFFFFFFFFFFFFFFFFFFFFFFFFFFFFFFFFFFFFFFFFFFFFFFFFFFFFFFFFFFFFFFFFFFFFFFFFFFFFFFFFFF000020002000FFFFFFFFFFFFFFFFFFFFFFFFFFFFFFFFFFFFFFFFFFFFFFFF"&amp;"FFFFFFFFFFFFFFFFFFFFFFFFFFFFFFFFFFFFFFFFFFFFFFFFFFFFFFFFFFFFFFFFFFFFFFFF000021002100FFFFFFFFFFFFFFFFFFFFFFFFFFFFFFFFFFFFFFFFFFFFFFFFFFFFFFFFFFFFFFFFFFFFFFFFFFFFFFFFFFFFFFFFFFFFFFFFFFFFFFFFFFFFFFFFFFFFFFFF000022002200FFFFFFFFFFFFFFFFFFFFFFFFFFFFFFFFFFFFFFF"&amp;"FFFFFFFFFFFFFFFFFFFFFFFFFFFFFFFFFFFFFFFFFFFFFFFFFFFFFFFFFFFFFFFFFFFFFFFFFFFFFFFFF000023002300FFFFFFFFFFFFFFFFFFFFFFFFFFFFFFFFFFFFFFFFFFFFFFFFFFFFFFFFFFFFFFFFFFFFFFFFFFFFFFFFFFFFFFFFFFFFFFFFFFFFFFFFFFFFFFFFFFFFFFFF000024002400FFFFFFFFFFFFFFFFFFFFFFFFFFFFFF"&amp;"FFFFFFFFFFFFFFFFFFFFFFFFFFFFFFFFFFFFFFFFFFFFFFFFFFFFFFFFFFFFFFFFFFFFFFFFFFFFFFFFFFFFFFFFFF000025002500FFFFFFFFFFFFFFFFFFFFFFFFFFFFFFFFFFFFFFFFFFFFFFFFFFFFFFFFFFFFFFFFFFFFFFFFFFFFFFFFFFFFFFFFFFFFFFFFFFFFFFFFFFFFFFFFFFFFFFFF000026002600FFFFFFFFFFFFFFFFFFFFF"&amp;"FFFFFFFFFFFFFFFFFFFFFFFFFFFFFFFFFFFFFFFFFFFFFFFFFFFFFFFFFFFFFFFFFFFFFFFFFFFFFFFFFFFFFFFFFFFFFFFFFFF00002700280029002A002B002C002D002E002F003000310032003300340035003600FFFFFFFFFFFFFFFFFFFFFFFFFFFFFFFFFFFFFFFFFFFFFFFFFFFFFFFFFFFFFFFF000037003800FFFFFFFFFFFF"&amp;"FFFFFFFFFFFF39003A00FFFFFFFFFFFFFFFFFFFFFFFFFFFFFFFFFFFFFFFFFFFFFFFFFFFFFFFFFFFFFFFFFFFFFFFFFFFFFFFFFFFFFFFF00003B003C00FFFFFFFFFFFFFFFFFFFFFFFFFFFFFFFFFFFFFFFFFFFFFFFFFFFFFFFFFFFFFFFFFFFFFFFFFFFFFFFFFFFFFFFFFFFFFFFFFFFFFFFFFFFFFFFFFFFFFFFF00003D003D00FFF"&amp;"FFFFFFFFFFFFFFFFFFFFF3E003E00FFFFFFFFFFFFFFFFFFFFFFFFFFFFFFFFFFFFFFFFFFFFFFFFFFFFFFFFFFFFFFFFFFFFFFFFFFFFFFFFFFFFFFFF00003F003F00FFFFFFFFFFFFFFFFFFFFFFFFFFFFFFFFFFFFFFFFFFFFFFFFFFFFFFFFFFFFFFFFFFFFFFFFFFFFFFFFFFFFFFFFFFFFFFFFFFFFFFFFFFFFFFFFFFFFFFFF000040"&amp;"004000FFFFFFFFFFFFFFFFFFFFFFFFFFFFFFFFFFFFFFFFFFFFFFFFFFFFFFFFFFFFFFFFFFFFFFFFFFFFFFFFFFFFFFFFFFFFFFFFFFFFFFFFFFFFFFFFFFFFFFFF000041004200FFFFFFFFFFFFFFFFFFFFFFFFFFFFFFFFFFFFFFFFFFFFFFFFFFFFFFFFFFFFFFFFFFFFFFFFFFFFFFFFFFFFFFFFFFFFFFFFFFFFFFFFFFFFFFFFFFFFF"&amp;"FFF000043004300FFFFFFFFFFFFFFFFFFFFFFFFFFFFFFFFFFFFFFFFFFFFFFFFFFFFFFFFFFFFFFFFFFFFFFFFFFFFFFFFFFFFFFFFFFFFFFFFFFFFFFFFFFFFFFFFFFFFFFFF000044004400FFFFFFFFFFFFFFFFFFFFFFFFFFFFFFFFFFFFFFFFFFFFFFFFFFFFFFFFFFFFFFFFFFFFFFFFFFFFFFFFFFFFFFFFFFFFFFFFFFFFFFFFFFFF"&amp;"FFFFFFFFFFFF000045004500FFFFFFFFFFFFFFFFFFFFFFFFFFFFFFFFFFFFFFFFFFFFFFFFFFFFFFFFFFFFFFFFFFFFFFFFFFFFFFFFFFFFFFFFFFFFFFFFFFFFFFFFFFFFFFFFFFFFFFFF000046004600FFFFFFFFFFFFFFFFFFFFFFFFFFFFFFFFFFFFFFFFFFFFFFFFFFFFFFFFFFFFFFFFFFFFFFFFFFFFFFFFFFFFFFFFFFFFFFFFFFF"&amp;"FFFFFFFFFFFFFFFFFFFFF000047004700FFFFFFFFFFFFFFFFFFFFFFFFFFFFFFFFFFFFFFFFFFFFFFFFFFFFFFFFFFFFFFFFFFFFFFFFFFFFFFFFFFFFFFFFFFFFFFFFFFFFFFFFFFFFFFFFFFFFFFFF000048004900FFFFFFFFFFFFFFFFFFFFFFFFFFFFFFFFFFFFFFFFFFFFFFFFFFFFFFFFFFFFFFFFFFFFFFFFFFFFFFFFFFFFFFFFFF"&amp;"FFFFFFFFFFFFFFFFFFFFFFFFFFFFFF00003D023D023D023D023D023D023D023D023E023E023E023E023E023E023E023E02FFFFFFFFFFFFFFFFFFFFFFFFFFFFFFFFFFFFFFFFFFFFFFFFFFFFFFFFFFFFFFFF00003F023F023F023F023F023F023F023F0240024002400240024002400240024002FFFFFFFFFFFFFFFFFFFFFFFFF"&amp;"FFFFFFFFFFFFFFFFFFFFFFFFFFFFFFFFFFFFFFF0000B102B202FFFFFFFFFFFFFFFFFFFFFFFFB302B402FFFFFFFFFFFFFFFFFFFFFFFFB502B502FFFFFFFFFFFFFFFFFFFFFFFFFFFFFFFFFFFFFFFFFFFFFFFFFFFFFFFF0000C402C502FFFFFFFFFFFFFFFFFFFFFFFFC602C602FFFFFFFFFFFFFFFFFFFFFFFFC702C702FFFFFFFF"&amp;"FFFFFFFFFFFFFFFFFFFFFFFFFFFFFFFFFFFFFFFFFFFFFFFF00002D032D03FFFFFFFFFFFFFFFFFFFFFFFF2E032F03FFFFFFFFFFFFFFFFFFFFFFFFFFFFFFFFFFFFFFFFFFFFFFFFFFFFFFFFFFFFFFFFFFFFFFFFFFFFFFFFFFFFFFFF00004B034B03FFFFFFFFFFFFFFFFFFFFFFFFFFFFFFFFFFFFFFFFFFFFFFFFFFFFFFFFFFFFFFF"&amp;"FFFFFFFFFFFFFFFFFFFFFFFFFFFFFFFFFFFFFFFFFFFFFFFFFFFFFFFFF00005F036003FFFFFFFFFFFFFFFFFFFFFFFF61036103FFFFFFFFFFFFFFFFFFFFFFFFFFFFFFFFFFFFFFFFFFFFFFFFFFFFFFFFFFFFFFFFFFFFFFFFFFFFFFFFFFFFFFFF000064036503FFFFFFFFFFFFFFFFFFFFFFFF61036103FFFFFFFFFFFFFFFFFFFFFF"&amp;"FFFFFFFFFFFFFFFFFFFFFFFFFFFFFFFFFFFFFFFFFFFFFFFFFFFFFFFFFFFFFFFFFF000041034203FFFFFFFFFFFFFFFFFFFFFFFF43034303FFFFFFFFFFFFFFFFFFFFFFFFFFFFFFFFFFFFFFFFFFFFFFFFFFFFFFFFFFFFFFFFFFFFFFFFFFFFFFFFFFFFFFFF0000")</f>
        <v>000000000000FFFFFFFFFFFFFFFFFFFFFFFF01000100FFFFFFFFFFFFFFFFFFFFFFFFFFFFFFFFFFFFFFFFFFFFFFFFFFFFFFFFFFFFFFFFFFFFFFFFFFFFFFFFFFFFFFFF00000200020003000300040004000500050006000600070007000800080009000900FFFFFFFFFFFFFFFFFFFFFFFFFFFFFFFFFFFFFFFFFFFFFFFFFFFFFFFFFFFFFFFF00000A000A00FFFFFFFFFFFFFFFFFFFFFFFFFFFFFFFFFFFFFFFFFFFFFFFFFFFFFFFFFFFFFFFFFFFFFFFFFFFFFFFFFFFFFFFFFFFFFFFFFFFFFFFFFFFFFFFFFFFFFFFF00000B000B00FFFFFFFFFFFFFFFFFFFFFFFFFFFFFFFFFFFFFFFFFFFFFFFFFFFFFFFFFFFFFFFFFFFFFFFFFFFFFFFFFFFFFFFFFFFFFFFFFFFFFFFFFFFFFFFFFFFFFFFF00000C000D00FFFFFFFFFFFFFFFFFFFFFFFFFFFFFFFFFFFFFFFFFFFFFFFFFFFFFFFFFFFFFFFFFFFFFFFFFFFFFFFFFFFFFFFFFFFFFFFFFFFFFFFFFFFFFFFFFFFFFFFF00000E000F00FFFFFFFFFFFFFFFFFFFFFFFF10001100FFFFFFFFFFFFFFFFFFFFFFFFFFFFFFFFFFFFFFFFFFFFFFFFFFFFFFFFFFFFFFFFFFFFFFFFFFFFFFFFFFFFFFFF00000E000F000E000F000E000F000E000F0010001100100011001000110010001100FFFFFFFFFFFFFFFFFFFFFFFFFFFFFFFFFFFFFFFFFFFFFFFFFFFFFFFFFFFFFFFF000012001300FFFFFFFFFFFFFFFFFFFFFFFF14001500FFFFFFFFFFFFFFFFFFFFFFFFFFFFFFFFFFFFFFFFFFFFFFFFFFFFFFFFFFFFFFFFFFFFFFFFFFFFFFFFFFFFFFFF000016001600FFFFFFFFFFFFFFFFFFFFFFFFFFFFFFFFFFFFFFFFFFFFFFFFFFFFFFFF17001700FFFFFFFFFFFFFFFFFFFFFFFFFFFFFFFFFFFFFFFFFFFFFFFFFFFFFFFF000018001800FFFFFFFFFFFFFFFFFFFFFFFFFFFFFFFFFFFFFFFFFFFFFFFFFFFFFFFF19001900FFFFFFFFFFFFFFFFFFFFFFFFFFFFFFFFFFFFFFFFFFFFFFFFFFFFFFFF00001A001A00FFFFFFFFFFFFFFFFFFFFFFFFFFFFFFFFFFFFFFFFFFFFFFFFFFFFFFFFFFFFFFFFFFFFFFFFFFFFFFFFFFFFFFFFFFFFFFFFFFFFFFFFFFFFFFFFFFFFFFFF00001B001B00FFFFFFFFFFFFFFFFFFFFFFFFFFFFFFFFFFFFFFFFFFFFFFFFFFFFFFFFFFFFFFFFFFFFFFFFFFFFFFFFFFFFFFFFFFFFFFFFFFFFFFFFFFFFFFFFFFFFFFFF00001C001C00FFFFFFFFFFFFFFFFFFFFFFFF1D001D00FFFFFFFFFFFFFFFFFFFFFFFFFFFFFFFFFFFFFFFFFFFFFFFFFFFFFFFFFFFFFFFFFFFFFFFFFFFFFFFFFFFFFFFF00001E001E00FFFFFFFFFFFFFFFFFFFFFFFFFFFFFFFFFFFFFFFFFFFFFFFFFFFFFFFFFFFFFFFFFFFFFFFFFFFFFFFFFFFFFFFFFFFFFFFFFFFFFFFFFFFFFFFFFFFFFFFF00001F001F00FFFFFFFFFFFFFFFFFFFFFFFFFFFFFFFFFFFFFFFFFFFFFFFFFFFFFFFFFFFFFFFFFFFFFFFFFFFFFFFFFFFFFFFFFFFFFFFFFFFFFFFFFFFFFFFFFFFFFFFF000020002000FFFFFFFFFFFFFFFFFFFFFFFFFFFFFFFFFFFFFFFFFFFFFFFFFFFFFFFFFFFFFFFFFFFFFFFFFFFFFFFFFFFFFFFFFFFFFFFFFFFFFFFFFFFFFFFFFFFFFFFF000021002100FFFFFFFFFFFFFFFFFFFFFFFFFFFFFFFFFFFFFFFFFFFFFFFFFFFFFFFFFFFFFFFFFFFFFFFFFFFFFFFFFFFFFFFFFFFFFFFFFFFFFFFFFFFFFFFFFFFFFFFF000022002200FFFFFFFFFFFFFFFFFFFFFFFFFFFFFFFFFFFFFFFFFFFFFFFFFFFFFFFFFFFFFFFFFFFFFFFFFFFFFFFFFFFFFFFFFFFFFFFFFFFFFFFFFFFFFFFFFFFFFFFF000023002300FFFFFFFFFFFFFFFFFFFFFFFFFFFFFFFFFFFFFFFFFFFFFFFFFFFFFFFFFFFFFFFFFFFFFFFFFFFFFFFFFFFFFFFFFFFFFFFFFFFFFFFFFFFFFFFFFFFFFFFF000024002400FFFFFFFFFFFFFFFFFFFFFFFFFFFFFFFFFFFFFFFFFFFFFFFFFFFFFFFFFFFFFFFFFFFFFFFFFFFFFFFFFFFFFFFFFFFFFFFFFFFFFFFFFFFFFFFFFFFFFFFF000025002500FFFFFFFFFFFFFFFFFFFFFFFFFFFFFFFFFFFFFFFFFFFFFFFFFFFFFFFFFFFFFFFFFFFFFFFFFFFFFFFFFFFFFFFFFFFFFFFFFFFFFFFFFFFFFFFFFFFFFFFF000026002600FFFFFFFFFFFFFFFFFFFFFFFFFFFFFFFFFFFFFFFFFFFFFFFFFFFFFFFFFFFFFFFFFFFFFFFFFFFFFFFFFFFFFFFFFFFFFFFFFFFFFFFFFFFFFFFFFFFFFFFF00002700280029002A002B002C002D002E002F003000310032003300340035003600FFFFFFFFFFFFFFFFFFFFFFFFFFFFFFFFFFFFFFFFFFFFFFFFFFFFFFFFFFFFFFFF000037003800FFFFFFFFFFFFFFFFFFFFFFFF39003A00FFFFFFFFFFFFFFFFFFFFFFFFFFFFFFFFFFFFFFFFFFFFFFFFFFFFFFFFFFFFFFFFFFFFFFFFFFFFFFFFFFFFFFFF00003B003C00FFFFFFFFFFFFFFFFFFFFFFFFFFFFFFFFFFFFFFFFFFFFFFFFFFFFFFFFFFFFFFFFFFFFFFFFFFFFFFFFFFFFFFFFFFFFFFFFFFFFFFFFFFFFFFFFFFFFFFFF00003D003D00FFFFFFFFFFFFFFFFFFFFFFFF3E003E00FFFFFFFFFFFFFFFFFFFFFFFFFFFFFFFFFFFFFFFFFFFFFFFFFFFFFFFFFFFFFFFFFFFFFFFFFFFFFFFFFFFFFFFF00003F003F00FFFFFFFFFFFFFFFFFFFFFFFFFFFFFFFFFFFFFFFFFFFFFFFFFFFFFFFFFFFFFFFFFFFFFFFFFFFFFFFFFFFFFFFFFFFFFFFFFFFFFFFFFFFFFFFFFFFFFFFF000040004000FFFFFFFFFFFFFFFFFFFFFFFFFFFFFFFFFFFFFFFFFFFFFFFFFFFFFFFFFFFFFFFFFFFFFFFFFFFFFFFFFFFFFFFFFFFFFFFFFFFFFFFFFFFFFFFFFFFFFFFF000041004200FFFFFFFFFFFFFFFFFFFFFFFFFFFFFFFFFFFFFFFFFFFFFFFFFFFFFFFFFFFFFFFFFFFFFFFFFFFFFFFFFFFFFFFFFFFFFFFFFFFFFFFFFFFFFFFFFFFFFFFF000043004300FFFFFFFFFFFFFFFFFFFFFFFFFFFFFFFFFFFFFFFFFFFFFFFFFFFFFFFFFFFFFFFFFFFFFFFFFFFFFFFFFFFFFFFFFFFFFFFFFFFFFFFFFFFFFFFFFFFFFFFF000044004400FFFFFFFFFFFFFFFFFFFFFFFFFFFFFFFFFFFFFFFFFFFFFFFFFFFFFFFFFFFFFFFFFFFFFFFFFFFFFFFFFFFFFFFFFFFFFFFFFFFFFFFFFFFFFFFFFFFFFFFF000045004500FFFFFFFFFFFFFFFFFFFFFFFFFFFFFFFFFFFFFFFFFFFFFFFFFFFFFFFFFFFFFFFFFFFFFFFFFFFFFFFFFFFFFFFFFFFFFFFFFFFFFFFFFFFFFFFFFFFFFFFF000046004600FFFFFFFFFFFFFFFFFFFFFFFFFFFFFFFFFFFFFFFFFFFFFFFFFFFFFFFFFFFFFFFFFFFFFFFFFFFFFFFFFFFFFFFFFFFFFFFFFFFFFFFFFFFFFFFFFFFFFFFF000047004700FFFFFFFFFFFFFFFFFFFFFFFFFFFFFFFFFFFFFFFFFFFFFFFFFFFFFFFFFFFFFFFFFFFFFFFFFFFFFFFFFFFFFFFFFFFFFFFFFFFFFFFFFFFFFFFFFFFFFFFF000048004900FFFFFFFFFFFFFFFFFFFFFFFFFFFFFFFFFFFFFFFFFFFFFFFFFFFFFFFFFFFFFFFFFFFFFFFFFFFFFFFFFFFFFFFFFFFFFFFFFFFFFFFFFFFFFFFFFFFFFFFF00003D023D023D023D023D023D023D023D023E023E023E023E023E023E023E023E02FFFFFFFFFFFFFFFFFFFFFFFFFFFFFFFFFFFFFFFFFFFFFFFFFFFFFFFFFFFFFFFF00003F023F023F023F023F023F023F023F0240024002400240024002400240024002FFFFFFFFFFFFFFFFFFFFFFFFFFFFFFFFFFFFFFFFFFFFFFFFFFFFFFFFFFFFFFFF0000B102B202FFFFFFFFFFFFFFFFFFFFFFFFB302B402FFFFFFFFFFFFFFFFFFFFFFFFB502B502FFFFFFFFFFFFFFFFFFFFFFFFFFFFFFFFFFFFFFFFFFFFFFFFFFFFFFFF0000C402C502FFFFFFFFFFFFFFFFFFFFFFFFC602C602FFFFFFFFFFFFFFFFFFFFFFFFC702C702FFFFFFFFFFFFFFFFFFFFFFFFFFFFFFFFFFFFFFFFFFFFFFFFFFFFFFFF00002D032D03FFFFFFFFFFFFFFFFFFFFFFFF2E032F03FFFFFFFFFFFFFFFFFFFFFFFFFFFFFFFFFFFFFFFFFFFFFFFFFFFFFFFFFFFFFFFFFFFFFFFFFFFFFFFFFFFFFFFF00004B034B03FFFFFFFFFFFFFFFFFFFFFFFFFFFFFFFFFFFFFFFFFFFFFFFFFFFFFFFFFFFFFFFFFFFFFFFFFFFFFFFFFFFFFFFFFFFFFFFFFFFFFFFFFFFFFFFFFFFFFFFF00005F036003FFFFFFFFFFFFFFFFFFFFFFFF61036103FFFFFFFFFFFFFFFFFFFFFFFFFFFFFFFFFFFFFFFFFFFFFFFFFFFFFFFFFFFFFFFFFFFFFFFFFFFFFFFFFFFFFFFF000064036503FFFFFFFFFFFFFFFFFFFFFFFF61036103FFFFFFFFFFFFFFFFFFFFFFFFFFFFFFFFFFFFFFFFFFFFFFFFFFFFFFFFFFFFFFFFFFFFFFFFFFFFFFFFFFFFFFFF000041034203FFFFFFFFFFFFFFFFFFFFFFFF43034303FFFFFFFFFFFFFFFFFFFFFFFFFFFFFFFFFFFFFFFFFFFFFFFFFFFFFFFFFFFFFFFFFFFFFFFFFFFFFFFFFFFFFFFF0000</v>
      </c>
      <c r="S4" s="3"/>
      <c r="T4" s="3"/>
      <c r="U4" s="3"/>
      <c r="V4" s="3"/>
      <c r="W4" s="3"/>
      <c r="X4" s="3"/>
      <c r="Y4" s="3"/>
      <c r="Z4" s="3"/>
      <c r="AA4" s="3"/>
      <c r="AB4" s="4"/>
    </row>
    <row r="5">
      <c r="B5" s="6"/>
      <c r="C5" s="7"/>
      <c r="M5" s="8"/>
      <c r="P5" s="7"/>
      <c r="Q5" s="8"/>
      <c r="R5" s="7"/>
      <c r="AB5" s="8"/>
    </row>
    <row r="6">
      <c r="B6" s="9"/>
      <c r="C6" s="7"/>
      <c r="M6" s="8"/>
      <c r="P6" s="10"/>
      <c r="Q6" s="11"/>
      <c r="R6" s="7"/>
      <c r="AB6" s="8"/>
    </row>
    <row r="7">
      <c r="C7" s="7"/>
      <c r="M7" s="8"/>
      <c r="R7" s="7"/>
      <c r="AB7" s="8"/>
    </row>
    <row r="8">
      <c r="C8" s="7"/>
      <c r="M8" s="8"/>
      <c r="R8" s="7"/>
      <c r="AB8" s="8"/>
    </row>
    <row r="9">
      <c r="C9" s="7"/>
      <c r="M9" s="8"/>
      <c r="R9" s="7"/>
      <c r="AB9" s="8"/>
    </row>
    <row r="10">
      <c r="C10" s="7"/>
      <c r="M10" s="8"/>
      <c r="R10" s="7"/>
      <c r="AB10" s="8"/>
    </row>
    <row r="11">
      <c r="C11" s="7"/>
      <c r="M11" s="8"/>
      <c r="R11" s="7"/>
      <c r="AB11" s="8"/>
    </row>
    <row r="12">
      <c r="C12" s="7"/>
      <c r="M12" s="8"/>
      <c r="R12" s="7"/>
      <c r="AB12" s="8"/>
    </row>
    <row r="13">
      <c r="C13" s="7"/>
      <c r="M13" s="8"/>
      <c r="R13" s="7"/>
      <c r="AB13" s="8"/>
    </row>
    <row r="14">
      <c r="C14" s="7"/>
      <c r="M14" s="8"/>
      <c r="R14" s="7"/>
      <c r="AB14" s="8"/>
    </row>
    <row r="15">
      <c r="C15" s="7"/>
      <c r="M15" s="8"/>
      <c r="R15" s="7"/>
      <c r="AB15" s="8"/>
    </row>
    <row r="16">
      <c r="C16" s="7"/>
      <c r="M16" s="8"/>
      <c r="R16" s="7"/>
      <c r="AB16" s="8"/>
    </row>
    <row r="17">
      <c r="C17" s="7"/>
      <c r="M17" s="8"/>
      <c r="R17" s="7"/>
      <c r="AB17" s="8"/>
    </row>
    <row r="18">
      <c r="C18" s="7"/>
      <c r="M18" s="8"/>
      <c r="R18" s="7"/>
      <c r="AB18" s="8"/>
    </row>
    <row r="19">
      <c r="C19" s="7"/>
      <c r="M19" s="8"/>
      <c r="R19" s="7"/>
      <c r="AB19" s="8"/>
    </row>
    <row r="20">
      <c r="C20" s="7"/>
      <c r="M20" s="8"/>
      <c r="R20" s="7"/>
      <c r="AB20" s="8"/>
    </row>
    <row r="21">
      <c r="C21" s="7"/>
      <c r="M21" s="8"/>
      <c r="R21" s="7"/>
      <c r="AB21" s="8"/>
    </row>
    <row r="22">
      <c r="C22" s="7"/>
      <c r="M22" s="8"/>
      <c r="R22" s="7"/>
      <c r="AB22" s="8"/>
    </row>
    <row r="23">
      <c r="C23" s="7"/>
      <c r="M23" s="8"/>
      <c r="R23" s="7"/>
      <c r="AB23" s="8"/>
    </row>
    <row r="24">
      <c r="C24" s="7"/>
      <c r="M24" s="8"/>
      <c r="R24" s="7"/>
      <c r="AB24" s="8"/>
    </row>
    <row r="25">
      <c r="C25" s="7"/>
      <c r="M25" s="8"/>
      <c r="R25" s="7"/>
      <c r="AB25" s="8"/>
    </row>
    <row r="26">
      <c r="C26" s="7"/>
      <c r="M26" s="8"/>
      <c r="R26" s="7"/>
      <c r="AB26" s="8"/>
    </row>
    <row r="27">
      <c r="C27" s="7"/>
      <c r="M27" s="8"/>
      <c r="R27" s="7"/>
      <c r="AB27" s="8"/>
    </row>
    <row r="28">
      <c r="C28" s="7"/>
      <c r="M28" s="8"/>
      <c r="R28" s="7"/>
      <c r="AB28" s="8"/>
    </row>
    <row r="29">
      <c r="C29" s="7"/>
      <c r="M29" s="8"/>
      <c r="R29" s="7"/>
      <c r="AB29" s="8"/>
    </row>
    <row r="30">
      <c r="C30" s="7"/>
      <c r="M30" s="8"/>
      <c r="R30" s="7"/>
      <c r="AB30" s="8"/>
    </row>
    <row r="31">
      <c r="C31" s="7"/>
      <c r="M31" s="8"/>
      <c r="R31" s="7"/>
      <c r="AB31" s="8"/>
    </row>
    <row r="32">
      <c r="C32" s="7"/>
      <c r="M32" s="8"/>
      <c r="R32" s="7"/>
      <c r="AB32" s="8"/>
    </row>
    <row r="33">
      <c r="C33" s="7"/>
      <c r="M33" s="8"/>
      <c r="R33" s="7"/>
      <c r="AB33" s="8"/>
    </row>
    <row r="34">
      <c r="C34" s="10"/>
      <c r="D34" s="12"/>
      <c r="E34" s="12"/>
      <c r="F34" s="12"/>
      <c r="G34" s="12"/>
      <c r="H34" s="12"/>
      <c r="I34" s="12"/>
      <c r="J34" s="12"/>
      <c r="K34" s="12"/>
      <c r="L34" s="12"/>
      <c r="M34" s="11"/>
      <c r="R34" s="10"/>
      <c r="S34" s="12"/>
      <c r="T34" s="12"/>
      <c r="U34" s="12"/>
      <c r="V34" s="12"/>
      <c r="W34" s="12"/>
      <c r="X34" s="12"/>
      <c r="Y34" s="12"/>
      <c r="Z34" s="12"/>
      <c r="AA34" s="12"/>
      <c r="AB34" s="11"/>
    </row>
    <row r="37">
      <c r="B37" s="13" t="s">
        <v>3</v>
      </c>
      <c r="C37" s="49" t="s">
        <v>4</v>
      </c>
      <c r="D37" s="49" t="s">
        <v>190</v>
      </c>
      <c r="E37" s="16" t="s">
        <v>191</v>
      </c>
      <c r="F37" s="3"/>
      <c r="G37" s="3"/>
      <c r="H37" s="3"/>
      <c r="I37" s="3"/>
      <c r="J37" s="3"/>
      <c r="K37" s="3"/>
      <c r="L37" s="3"/>
      <c r="M37" s="16" t="s">
        <v>192</v>
      </c>
      <c r="N37" s="3"/>
      <c r="O37" s="3"/>
      <c r="P37" s="3"/>
      <c r="Q37" s="3"/>
      <c r="R37" s="3"/>
      <c r="S37" s="3"/>
      <c r="T37" s="3"/>
      <c r="U37" s="16" t="s">
        <v>193</v>
      </c>
      <c r="V37" s="3"/>
      <c r="W37" s="3"/>
      <c r="X37" s="3"/>
      <c r="Y37" s="3"/>
      <c r="Z37" s="3"/>
      <c r="AA37" s="3"/>
      <c r="AB37" s="17"/>
      <c r="AC37" s="15" t="s">
        <v>194</v>
      </c>
      <c r="AD37" s="3"/>
      <c r="AE37" s="3"/>
      <c r="AF37" s="3"/>
      <c r="AG37" s="3"/>
      <c r="AH37" s="3"/>
      <c r="AI37" s="3"/>
      <c r="AJ37" s="4"/>
    </row>
    <row r="38">
      <c r="A38" s="18"/>
      <c r="B38" s="10"/>
      <c r="C38" s="50"/>
      <c r="D38" s="50"/>
      <c r="E38" s="21" t="s">
        <v>195</v>
      </c>
      <c r="F38" s="20" t="s">
        <v>196</v>
      </c>
      <c r="G38" s="20" t="s">
        <v>197</v>
      </c>
      <c r="H38" s="20" t="s">
        <v>198</v>
      </c>
      <c r="I38" s="20" t="s">
        <v>199</v>
      </c>
      <c r="J38" s="20" t="s">
        <v>200</v>
      </c>
      <c r="K38" s="20" t="s">
        <v>201</v>
      </c>
      <c r="L38" s="20" t="s">
        <v>202</v>
      </c>
      <c r="M38" s="21" t="s">
        <v>195</v>
      </c>
      <c r="N38" s="20" t="s">
        <v>196</v>
      </c>
      <c r="O38" s="20" t="s">
        <v>197</v>
      </c>
      <c r="P38" s="20" t="s">
        <v>198</v>
      </c>
      <c r="Q38" s="20" t="s">
        <v>199</v>
      </c>
      <c r="R38" s="20" t="s">
        <v>200</v>
      </c>
      <c r="S38" s="20" t="s">
        <v>201</v>
      </c>
      <c r="T38" s="20" t="s">
        <v>202</v>
      </c>
      <c r="U38" s="21" t="s">
        <v>195</v>
      </c>
      <c r="V38" s="20" t="s">
        <v>196</v>
      </c>
      <c r="W38" s="20" t="s">
        <v>197</v>
      </c>
      <c r="X38" s="20" t="s">
        <v>198</v>
      </c>
      <c r="Y38" s="20" t="s">
        <v>199</v>
      </c>
      <c r="Z38" s="20" t="s">
        <v>200</v>
      </c>
      <c r="AA38" s="20" t="s">
        <v>201</v>
      </c>
      <c r="AB38" s="22" t="s">
        <v>202</v>
      </c>
      <c r="AC38" s="20" t="s">
        <v>195</v>
      </c>
      <c r="AD38" s="20" t="s">
        <v>196</v>
      </c>
      <c r="AE38" s="20" t="s">
        <v>197</v>
      </c>
      <c r="AF38" s="20" t="s">
        <v>198</v>
      </c>
      <c r="AG38" s="20" t="s">
        <v>199</v>
      </c>
      <c r="AH38" s="20" t="s">
        <v>200</v>
      </c>
      <c r="AI38" s="20" t="s">
        <v>201</v>
      </c>
      <c r="AJ38" s="44" t="s">
        <v>202</v>
      </c>
      <c r="AK38" s="23"/>
    </row>
    <row r="39">
      <c r="B39" s="24">
        <v>0.0</v>
      </c>
      <c r="C39" s="25" t="s">
        <v>12</v>
      </c>
      <c r="D39" s="25">
        <v>0.0</v>
      </c>
      <c r="E39" s="26">
        <v>0.0</v>
      </c>
      <c r="F39" s="26">
        <v>0.0</v>
      </c>
      <c r="L39" s="29"/>
      <c r="M39" s="26">
        <v>1.0</v>
      </c>
      <c r="N39" s="26">
        <v>1.0</v>
      </c>
      <c r="T39" s="29"/>
      <c r="AB39" s="29"/>
      <c r="AJ39" s="45"/>
    </row>
    <row r="40">
      <c r="B40" s="24">
        <v>1.0</v>
      </c>
      <c r="C40" s="25" t="s">
        <v>203</v>
      </c>
      <c r="D40" s="25">
        <v>0.0</v>
      </c>
      <c r="E40" s="26">
        <v>2.0</v>
      </c>
      <c r="F40" s="26">
        <v>2.0</v>
      </c>
      <c r="G40" s="26">
        <v>3.0</v>
      </c>
      <c r="H40" s="26">
        <v>3.0</v>
      </c>
      <c r="I40" s="26">
        <v>4.0</v>
      </c>
      <c r="J40" s="26">
        <v>4.0</v>
      </c>
      <c r="K40" s="26">
        <v>5.0</v>
      </c>
      <c r="L40" s="25">
        <v>5.0</v>
      </c>
      <c r="M40" s="26">
        <v>6.0</v>
      </c>
      <c r="N40" s="26">
        <v>6.0</v>
      </c>
      <c r="O40" s="26">
        <v>7.0</v>
      </c>
      <c r="P40" s="26">
        <v>7.0</v>
      </c>
      <c r="Q40" s="26">
        <v>8.0</v>
      </c>
      <c r="R40" s="26">
        <v>8.0</v>
      </c>
      <c r="S40" s="26">
        <v>9.0</v>
      </c>
      <c r="T40" s="25">
        <v>9.0</v>
      </c>
      <c r="AB40" s="29"/>
      <c r="AJ40" s="45"/>
    </row>
    <row r="41">
      <c r="B41" s="24">
        <v>2.0</v>
      </c>
      <c r="C41" s="25" t="s">
        <v>129</v>
      </c>
      <c r="D41" s="25">
        <v>0.0</v>
      </c>
      <c r="E41" s="26">
        <v>10.0</v>
      </c>
      <c r="F41" s="26">
        <v>10.0</v>
      </c>
      <c r="L41" s="29"/>
      <c r="T41" s="29"/>
      <c r="AB41" s="29"/>
      <c r="AJ41" s="45"/>
    </row>
    <row r="42">
      <c r="B42" s="24">
        <v>3.0</v>
      </c>
      <c r="C42" s="25" t="s">
        <v>38</v>
      </c>
      <c r="D42" s="25">
        <v>0.0</v>
      </c>
      <c r="E42" s="26">
        <v>11.0</v>
      </c>
      <c r="F42" s="26">
        <v>11.0</v>
      </c>
      <c r="L42" s="29"/>
      <c r="T42" s="29"/>
      <c r="AB42" s="29"/>
      <c r="AJ42" s="45"/>
    </row>
    <row r="43">
      <c r="B43" s="24">
        <v>4.0</v>
      </c>
      <c r="C43" s="25" t="s">
        <v>21</v>
      </c>
      <c r="D43" s="25">
        <v>0.0</v>
      </c>
      <c r="E43" s="26">
        <v>12.0</v>
      </c>
      <c r="F43" s="26">
        <v>13.0</v>
      </c>
      <c r="L43" s="29"/>
      <c r="T43" s="29"/>
      <c r="AB43" s="29"/>
      <c r="AJ43" s="45"/>
    </row>
    <row r="44">
      <c r="B44" s="24">
        <v>5.0</v>
      </c>
      <c r="C44" s="25" t="s">
        <v>11</v>
      </c>
      <c r="D44" s="25">
        <v>0.0</v>
      </c>
      <c r="E44" s="26">
        <v>14.0</v>
      </c>
      <c r="F44" s="26">
        <v>15.0</v>
      </c>
      <c r="L44" s="29"/>
      <c r="M44" s="26">
        <v>16.0</v>
      </c>
      <c r="N44" s="26">
        <v>17.0</v>
      </c>
      <c r="T44" s="29"/>
      <c r="AB44" s="29"/>
      <c r="AJ44" s="45"/>
    </row>
    <row r="45">
      <c r="B45" s="24">
        <v>6.0</v>
      </c>
      <c r="C45" s="25" t="s">
        <v>31</v>
      </c>
      <c r="D45" s="25">
        <v>0.0</v>
      </c>
      <c r="E45" s="26">
        <v>14.0</v>
      </c>
      <c r="F45" s="26">
        <v>15.0</v>
      </c>
      <c r="G45" s="26">
        <v>14.0</v>
      </c>
      <c r="H45" s="26">
        <v>15.0</v>
      </c>
      <c r="I45" s="26">
        <v>14.0</v>
      </c>
      <c r="J45" s="26">
        <v>15.0</v>
      </c>
      <c r="K45" s="26">
        <v>14.0</v>
      </c>
      <c r="L45" s="25">
        <v>15.0</v>
      </c>
      <c r="M45" s="26">
        <v>16.0</v>
      </c>
      <c r="N45" s="26">
        <v>17.0</v>
      </c>
      <c r="O45" s="26">
        <v>16.0</v>
      </c>
      <c r="P45" s="26">
        <v>17.0</v>
      </c>
      <c r="Q45" s="26">
        <v>16.0</v>
      </c>
      <c r="R45" s="26">
        <v>17.0</v>
      </c>
      <c r="S45" s="26">
        <v>16.0</v>
      </c>
      <c r="T45" s="25">
        <v>17.0</v>
      </c>
      <c r="AB45" s="29"/>
      <c r="AJ45" s="45"/>
    </row>
    <row r="46">
      <c r="B46" s="24">
        <v>7.0</v>
      </c>
      <c r="C46" s="25" t="s">
        <v>36</v>
      </c>
      <c r="D46" s="25">
        <v>0.0</v>
      </c>
      <c r="E46" s="26">
        <v>18.0</v>
      </c>
      <c r="F46" s="26">
        <v>19.0</v>
      </c>
      <c r="L46" s="25"/>
      <c r="M46" s="26">
        <v>20.0</v>
      </c>
      <c r="N46" s="26">
        <v>21.0</v>
      </c>
      <c r="T46" s="25"/>
      <c r="AB46" s="29"/>
      <c r="AJ46" s="45"/>
    </row>
    <row r="47">
      <c r="B47" s="24">
        <v>8.0</v>
      </c>
      <c r="C47" s="25" t="s">
        <v>17</v>
      </c>
      <c r="D47" s="25">
        <v>0.0</v>
      </c>
      <c r="E47" s="26">
        <v>22.0</v>
      </c>
      <c r="F47" s="26">
        <v>22.0</v>
      </c>
      <c r="L47" s="29"/>
      <c r="T47" s="29"/>
      <c r="U47" s="26">
        <v>23.0</v>
      </c>
      <c r="V47" s="26">
        <v>23.0</v>
      </c>
      <c r="AB47" s="29"/>
      <c r="AJ47" s="45"/>
    </row>
    <row r="48">
      <c r="B48" s="24">
        <v>9.0</v>
      </c>
      <c r="C48" s="25" t="s">
        <v>204</v>
      </c>
      <c r="D48" s="25">
        <v>0.0</v>
      </c>
      <c r="E48" s="26">
        <v>24.0</v>
      </c>
      <c r="F48" s="26">
        <v>24.0</v>
      </c>
      <c r="L48" s="29"/>
      <c r="T48" s="29"/>
      <c r="U48" s="26">
        <v>25.0</v>
      </c>
      <c r="V48" s="26">
        <v>25.0</v>
      </c>
      <c r="AB48" s="29"/>
      <c r="AJ48" s="45"/>
    </row>
    <row r="49">
      <c r="B49" s="24">
        <v>10.0</v>
      </c>
      <c r="C49" s="25" t="s">
        <v>19</v>
      </c>
      <c r="D49" s="25">
        <v>0.0</v>
      </c>
      <c r="E49" s="26">
        <v>26.0</v>
      </c>
      <c r="F49" s="26">
        <v>26.0</v>
      </c>
      <c r="L49" s="29"/>
      <c r="T49" s="29"/>
      <c r="AB49" s="29"/>
      <c r="AJ49" s="45"/>
    </row>
    <row r="50">
      <c r="B50" s="24">
        <v>11.0</v>
      </c>
      <c r="C50" s="25" t="s">
        <v>205</v>
      </c>
      <c r="D50" s="25">
        <v>0.0</v>
      </c>
      <c r="E50" s="26">
        <v>27.0</v>
      </c>
      <c r="F50" s="26">
        <v>27.0</v>
      </c>
      <c r="L50" s="29"/>
      <c r="T50" s="29"/>
      <c r="AB50" s="29"/>
      <c r="AJ50" s="45"/>
    </row>
    <row r="51">
      <c r="B51" s="24">
        <v>12.0</v>
      </c>
      <c r="C51" s="25" t="s">
        <v>20</v>
      </c>
      <c r="D51" s="25">
        <v>0.0</v>
      </c>
      <c r="E51" s="26">
        <v>28.0</v>
      </c>
      <c r="F51" s="26">
        <v>28.0</v>
      </c>
      <c r="L51" s="29"/>
      <c r="M51" s="26">
        <v>29.0</v>
      </c>
      <c r="N51" s="26">
        <v>29.0</v>
      </c>
      <c r="T51" s="29"/>
      <c r="AB51" s="29"/>
      <c r="AJ51" s="45"/>
    </row>
    <row r="52">
      <c r="B52" s="24">
        <v>13.0</v>
      </c>
      <c r="C52" s="25" t="s">
        <v>24</v>
      </c>
      <c r="D52" s="25">
        <v>0.0</v>
      </c>
      <c r="E52" s="26">
        <v>30.0</v>
      </c>
      <c r="F52" s="26">
        <v>30.0</v>
      </c>
      <c r="L52" s="29"/>
      <c r="T52" s="29"/>
      <c r="AB52" s="29"/>
      <c r="AJ52" s="45"/>
    </row>
    <row r="53">
      <c r="B53" s="24">
        <v>14.0</v>
      </c>
      <c r="C53" s="25" t="s">
        <v>26</v>
      </c>
      <c r="D53" s="25">
        <v>0.0</v>
      </c>
      <c r="E53" s="26">
        <v>31.0</v>
      </c>
      <c r="F53" s="26">
        <v>31.0</v>
      </c>
      <c r="L53" s="29"/>
      <c r="T53" s="29"/>
      <c r="AB53" s="29"/>
      <c r="AJ53" s="45"/>
    </row>
    <row r="54">
      <c r="B54" s="24">
        <v>15.0</v>
      </c>
      <c r="C54" s="25" t="s">
        <v>138</v>
      </c>
      <c r="D54" s="25">
        <v>0.0</v>
      </c>
      <c r="E54" s="26">
        <v>32.0</v>
      </c>
      <c r="F54" s="26">
        <v>32.0</v>
      </c>
      <c r="L54" s="29"/>
      <c r="T54" s="29"/>
      <c r="AB54" s="29"/>
      <c r="AJ54" s="45"/>
    </row>
    <row r="55">
      <c r="B55" s="24">
        <v>16.0</v>
      </c>
      <c r="C55" s="25" t="s">
        <v>206</v>
      </c>
      <c r="D55" s="25">
        <v>0.0</v>
      </c>
      <c r="E55" s="26">
        <v>33.0</v>
      </c>
      <c r="F55" s="51">
        <v>33.0</v>
      </c>
      <c r="L55" s="29"/>
      <c r="T55" s="29"/>
      <c r="AB55" s="29"/>
      <c r="AJ55" s="45"/>
    </row>
    <row r="56">
      <c r="B56" s="24">
        <v>17.0</v>
      </c>
      <c r="C56" s="25" t="s">
        <v>140</v>
      </c>
      <c r="D56" s="25">
        <v>0.0</v>
      </c>
      <c r="E56" s="26">
        <v>34.0</v>
      </c>
      <c r="F56" s="26">
        <v>34.0</v>
      </c>
      <c r="L56" s="29"/>
      <c r="T56" s="29"/>
      <c r="AB56" s="29"/>
      <c r="AJ56" s="45"/>
    </row>
    <row r="57">
      <c r="B57" s="24">
        <v>18.0</v>
      </c>
      <c r="C57" s="25" t="s">
        <v>207</v>
      </c>
      <c r="D57" s="25">
        <v>0.0</v>
      </c>
      <c r="E57" s="26">
        <v>35.0</v>
      </c>
      <c r="F57" s="26">
        <v>35.0</v>
      </c>
      <c r="L57" s="29"/>
      <c r="T57" s="29"/>
      <c r="AB57" s="29"/>
      <c r="AJ57" s="45"/>
    </row>
    <row r="58">
      <c r="B58" s="24">
        <v>19.0</v>
      </c>
      <c r="C58" s="25" t="s">
        <v>43</v>
      </c>
      <c r="D58" s="25">
        <v>0.0</v>
      </c>
      <c r="E58" s="26">
        <v>36.0</v>
      </c>
      <c r="F58" s="26">
        <v>36.0</v>
      </c>
      <c r="L58" s="29"/>
      <c r="T58" s="29"/>
      <c r="AB58" s="29"/>
      <c r="AJ58" s="45"/>
    </row>
    <row r="59">
      <c r="B59" s="24">
        <v>20.0</v>
      </c>
      <c r="C59" s="25" t="s">
        <v>27</v>
      </c>
      <c r="D59" s="25">
        <v>0.0</v>
      </c>
      <c r="E59" s="26">
        <v>37.0</v>
      </c>
      <c r="F59" s="26">
        <v>37.0</v>
      </c>
      <c r="L59" s="29"/>
      <c r="T59" s="29"/>
      <c r="AB59" s="29"/>
      <c r="AJ59" s="45"/>
    </row>
    <row r="60">
      <c r="B60" s="24">
        <v>21.0</v>
      </c>
      <c r="C60" s="25" t="s">
        <v>44</v>
      </c>
      <c r="D60" s="25">
        <v>0.0</v>
      </c>
      <c r="E60" s="26">
        <v>38.0</v>
      </c>
      <c r="F60" s="26">
        <v>38.0</v>
      </c>
      <c r="L60" s="29"/>
      <c r="T60" s="29"/>
      <c r="AB60" s="29"/>
      <c r="AJ60" s="45"/>
    </row>
    <row r="61">
      <c r="B61" s="24">
        <v>22.0</v>
      </c>
      <c r="C61" s="25" t="s">
        <v>208</v>
      </c>
      <c r="D61" s="25">
        <v>0.0</v>
      </c>
      <c r="E61" s="26">
        <v>39.0</v>
      </c>
      <c r="F61" s="26">
        <v>40.0</v>
      </c>
      <c r="G61" s="26">
        <v>41.0</v>
      </c>
      <c r="H61" s="26">
        <v>42.0</v>
      </c>
      <c r="I61" s="26">
        <v>43.0</v>
      </c>
      <c r="J61" s="26">
        <v>44.0</v>
      </c>
      <c r="K61" s="26">
        <v>45.0</v>
      </c>
      <c r="L61" s="25">
        <v>46.0</v>
      </c>
      <c r="M61" s="26">
        <v>47.0</v>
      </c>
      <c r="N61" s="26">
        <v>48.0</v>
      </c>
      <c r="O61" s="26">
        <v>49.0</v>
      </c>
      <c r="P61" s="26">
        <v>50.0</v>
      </c>
      <c r="Q61" s="26">
        <v>51.0</v>
      </c>
      <c r="R61" s="26">
        <v>52.0</v>
      </c>
      <c r="S61" s="26">
        <v>53.0</v>
      </c>
      <c r="T61" s="25">
        <v>54.0</v>
      </c>
      <c r="AB61" s="29"/>
      <c r="AJ61" s="45"/>
    </row>
    <row r="62">
      <c r="B62" s="24">
        <v>23.0</v>
      </c>
      <c r="C62" s="25" t="s">
        <v>209</v>
      </c>
      <c r="D62" s="25">
        <v>0.0</v>
      </c>
      <c r="E62" s="26">
        <v>55.0</v>
      </c>
      <c r="F62" s="26">
        <v>56.0</v>
      </c>
      <c r="L62" s="29"/>
      <c r="M62" s="26">
        <v>57.0</v>
      </c>
      <c r="N62" s="26">
        <v>58.0</v>
      </c>
      <c r="T62" s="29"/>
      <c r="AB62" s="29"/>
      <c r="AJ62" s="45"/>
    </row>
    <row r="63">
      <c r="B63" s="24">
        <v>24.0</v>
      </c>
      <c r="C63" s="25" t="s">
        <v>210</v>
      </c>
      <c r="D63" s="25">
        <v>0.0</v>
      </c>
      <c r="E63" s="26">
        <v>59.0</v>
      </c>
      <c r="F63" s="26">
        <v>60.0</v>
      </c>
      <c r="L63" s="29"/>
      <c r="T63" s="29"/>
      <c r="AB63" s="29"/>
      <c r="AJ63" s="45"/>
    </row>
    <row r="64">
      <c r="B64" s="24">
        <v>25.0</v>
      </c>
      <c r="C64" s="25" t="s">
        <v>28</v>
      </c>
      <c r="D64" s="25">
        <v>0.0</v>
      </c>
      <c r="E64" s="26">
        <v>61.0</v>
      </c>
      <c r="F64" s="26">
        <v>61.0</v>
      </c>
      <c r="L64" s="29"/>
      <c r="M64" s="26">
        <v>62.0</v>
      </c>
      <c r="N64" s="26">
        <v>62.0</v>
      </c>
      <c r="T64" s="29"/>
      <c r="AB64" s="29"/>
      <c r="AJ64" s="45"/>
    </row>
    <row r="65">
      <c r="B65" s="24">
        <v>26.0</v>
      </c>
      <c r="C65" s="25" t="s">
        <v>129</v>
      </c>
      <c r="D65" s="25">
        <v>0.0</v>
      </c>
      <c r="E65" s="26">
        <v>63.0</v>
      </c>
      <c r="F65" s="26">
        <v>63.0</v>
      </c>
      <c r="L65" s="29"/>
      <c r="T65" s="29"/>
      <c r="AB65" s="29"/>
      <c r="AJ65" s="45"/>
    </row>
    <row r="66">
      <c r="B66" s="24">
        <v>27.0</v>
      </c>
      <c r="C66" s="25" t="s">
        <v>129</v>
      </c>
      <c r="D66" s="25">
        <v>0.0</v>
      </c>
      <c r="E66" s="26">
        <v>64.0</v>
      </c>
      <c r="F66" s="26">
        <v>64.0</v>
      </c>
      <c r="L66" s="29"/>
      <c r="T66" s="29"/>
      <c r="AB66" s="29"/>
      <c r="AJ66" s="45"/>
    </row>
    <row r="67">
      <c r="B67" s="24">
        <v>28.0</v>
      </c>
      <c r="C67" s="25" t="s">
        <v>48</v>
      </c>
      <c r="D67" s="25">
        <v>0.0</v>
      </c>
      <c r="E67" s="26">
        <v>65.0</v>
      </c>
      <c r="F67" s="26">
        <v>66.0</v>
      </c>
      <c r="L67" s="29"/>
      <c r="T67" s="29"/>
      <c r="AB67" s="29"/>
      <c r="AJ67" s="45"/>
    </row>
    <row r="68">
      <c r="B68" s="24">
        <v>29.0</v>
      </c>
      <c r="C68" s="25" t="s">
        <v>211</v>
      </c>
      <c r="D68" s="25">
        <v>0.0</v>
      </c>
      <c r="E68" s="26">
        <v>67.0</v>
      </c>
      <c r="F68" s="26">
        <v>67.0</v>
      </c>
      <c r="L68" s="29"/>
      <c r="T68" s="29"/>
      <c r="AB68" s="29"/>
      <c r="AJ68" s="45"/>
    </row>
    <row r="69">
      <c r="B69" s="24">
        <v>30.0</v>
      </c>
      <c r="C69" s="25" t="s">
        <v>212</v>
      </c>
      <c r="D69" s="25">
        <v>0.0</v>
      </c>
      <c r="E69" s="26">
        <v>68.0</v>
      </c>
      <c r="F69" s="26">
        <v>68.0</v>
      </c>
      <c r="L69" s="29"/>
      <c r="T69" s="29"/>
      <c r="AB69" s="29"/>
      <c r="AJ69" s="45"/>
    </row>
    <row r="70">
      <c r="B70" s="24">
        <v>31.0</v>
      </c>
      <c r="C70" s="25" t="s">
        <v>213</v>
      </c>
      <c r="D70" s="25">
        <v>0.0</v>
      </c>
      <c r="E70" s="26">
        <v>69.0</v>
      </c>
      <c r="F70" s="26">
        <v>69.0</v>
      </c>
      <c r="L70" s="29"/>
      <c r="T70" s="29"/>
      <c r="AB70" s="29"/>
      <c r="AJ70" s="45"/>
    </row>
    <row r="71">
      <c r="B71" s="24">
        <v>32.0</v>
      </c>
      <c r="C71" s="25" t="s">
        <v>214</v>
      </c>
      <c r="D71" s="25">
        <v>0.0</v>
      </c>
      <c r="E71" s="26">
        <v>70.0</v>
      </c>
      <c r="F71" s="26">
        <v>70.0</v>
      </c>
      <c r="L71" s="29"/>
      <c r="T71" s="29"/>
      <c r="AB71" s="29"/>
      <c r="AJ71" s="45"/>
    </row>
    <row r="72">
      <c r="B72" s="24">
        <v>33.0</v>
      </c>
      <c r="C72" s="25" t="s">
        <v>215</v>
      </c>
      <c r="D72" s="25">
        <v>0.0</v>
      </c>
      <c r="E72" s="26">
        <v>71.0</v>
      </c>
      <c r="F72" s="26">
        <v>71.0</v>
      </c>
      <c r="L72" s="29"/>
      <c r="T72" s="29"/>
      <c r="AB72" s="29"/>
      <c r="AJ72" s="45"/>
    </row>
    <row r="73">
      <c r="B73" s="38">
        <v>34.0</v>
      </c>
      <c r="C73" s="39" t="s">
        <v>150</v>
      </c>
      <c r="D73" s="39">
        <v>0.0</v>
      </c>
      <c r="E73" s="40">
        <v>72.0</v>
      </c>
      <c r="F73" s="40">
        <v>73.0</v>
      </c>
      <c r="G73" s="46"/>
      <c r="H73" s="46"/>
      <c r="I73" s="46"/>
      <c r="J73" s="46"/>
      <c r="K73" s="46"/>
      <c r="L73" s="47"/>
      <c r="M73" s="46"/>
      <c r="N73" s="46"/>
      <c r="O73" s="46"/>
      <c r="P73" s="46"/>
      <c r="Q73" s="46"/>
      <c r="R73" s="46"/>
      <c r="S73" s="46"/>
      <c r="T73" s="47"/>
      <c r="U73" s="46"/>
      <c r="V73" s="46"/>
      <c r="W73" s="46"/>
      <c r="X73" s="46"/>
      <c r="Y73" s="46"/>
      <c r="Z73" s="46"/>
      <c r="AA73" s="46"/>
      <c r="AB73" s="47"/>
      <c r="AC73" s="46"/>
      <c r="AD73" s="46"/>
      <c r="AE73" s="46"/>
      <c r="AF73" s="46"/>
      <c r="AG73" s="46"/>
      <c r="AH73" s="46"/>
      <c r="AI73" s="46"/>
      <c r="AJ73" s="48"/>
    </row>
    <row r="74">
      <c r="B74" s="24">
        <v>35.0</v>
      </c>
      <c r="C74" s="25" t="s">
        <v>216</v>
      </c>
      <c r="D74" s="25">
        <v>0.0</v>
      </c>
      <c r="E74" s="26">
        <v>573.0</v>
      </c>
      <c r="F74" s="26">
        <v>573.0</v>
      </c>
      <c r="G74" s="26">
        <v>573.0</v>
      </c>
      <c r="H74" s="26">
        <v>573.0</v>
      </c>
      <c r="I74" s="26">
        <v>573.0</v>
      </c>
      <c r="J74" s="26">
        <v>573.0</v>
      </c>
      <c r="K74" s="26">
        <v>573.0</v>
      </c>
      <c r="L74" s="25">
        <v>573.0</v>
      </c>
      <c r="M74" s="26">
        <v>574.0</v>
      </c>
      <c r="N74" s="26">
        <v>574.0</v>
      </c>
      <c r="O74" s="26">
        <v>574.0</v>
      </c>
      <c r="P74" s="26">
        <v>574.0</v>
      </c>
      <c r="Q74" s="26">
        <v>574.0</v>
      </c>
      <c r="R74" s="26">
        <v>574.0</v>
      </c>
      <c r="S74" s="26">
        <v>574.0</v>
      </c>
      <c r="T74" s="25">
        <v>574.0</v>
      </c>
      <c r="AB74" s="29"/>
      <c r="AJ74" s="45"/>
    </row>
    <row r="75">
      <c r="B75" s="24">
        <v>36.0</v>
      </c>
      <c r="C75" s="25" t="s">
        <v>217</v>
      </c>
      <c r="D75" s="25">
        <v>0.0</v>
      </c>
      <c r="E75" s="26">
        <v>575.0</v>
      </c>
      <c r="F75" s="26">
        <v>575.0</v>
      </c>
      <c r="G75" s="26">
        <v>575.0</v>
      </c>
      <c r="H75" s="26">
        <v>575.0</v>
      </c>
      <c r="I75" s="26">
        <v>575.0</v>
      </c>
      <c r="J75" s="26">
        <v>575.0</v>
      </c>
      <c r="K75" s="26">
        <v>575.0</v>
      </c>
      <c r="L75" s="25">
        <v>575.0</v>
      </c>
      <c r="M75" s="26">
        <v>576.0</v>
      </c>
      <c r="N75" s="26">
        <v>576.0</v>
      </c>
      <c r="O75" s="26">
        <v>576.0</v>
      </c>
      <c r="P75" s="26">
        <v>576.0</v>
      </c>
      <c r="Q75" s="26">
        <v>576.0</v>
      </c>
      <c r="R75" s="26">
        <v>576.0</v>
      </c>
      <c r="S75" s="26">
        <v>576.0</v>
      </c>
      <c r="T75" s="25">
        <v>576.0</v>
      </c>
      <c r="AB75" s="29"/>
      <c r="AJ75" s="45"/>
    </row>
    <row r="76">
      <c r="B76" s="24">
        <v>37.0</v>
      </c>
      <c r="C76" s="25" t="s">
        <v>218</v>
      </c>
      <c r="D76" s="25">
        <v>0.0</v>
      </c>
      <c r="E76" s="26">
        <v>689.0</v>
      </c>
      <c r="F76" s="26">
        <v>690.0</v>
      </c>
      <c r="L76" s="29"/>
      <c r="M76" s="26">
        <v>691.0</v>
      </c>
      <c r="N76" s="26">
        <v>692.0</v>
      </c>
      <c r="T76" s="29"/>
      <c r="U76" s="26">
        <v>693.0</v>
      </c>
      <c r="V76" s="26">
        <v>693.0</v>
      </c>
      <c r="AB76" s="29"/>
      <c r="AJ76" s="45"/>
    </row>
    <row r="77">
      <c r="B77" s="24">
        <v>38.0</v>
      </c>
      <c r="C77" s="25" t="s">
        <v>69</v>
      </c>
      <c r="D77" s="25">
        <v>0.0</v>
      </c>
      <c r="E77" s="26">
        <v>708.0</v>
      </c>
      <c r="F77" s="26">
        <v>709.0</v>
      </c>
      <c r="L77" s="29"/>
      <c r="M77" s="26">
        <v>710.0</v>
      </c>
      <c r="N77" s="26">
        <v>710.0</v>
      </c>
      <c r="T77" s="29"/>
      <c r="U77" s="26">
        <v>711.0</v>
      </c>
      <c r="V77" s="26">
        <v>711.0</v>
      </c>
      <c r="AB77" s="29"/>
      <c r="AJ77" s="45"/>
    </row>
    <row r="78">
      <c r="B78" s="24">
        <v>39.0</v>
      </c>
      <c r="C78" s="25" t="s">
        <v>96</v>
      </c>
      <c r="D78" s="25">
        <v>0.0</v>
      </c>
      <c r="E78" s="26">
        <v>813.0</v>
      </c>
      <c r="F78" s="26">
        <v>813.0</v>
      </c>
      <c r="L78" s="29"/>
      <c r="M78" s="26">
        <v>814.0</v>
      </c>
      <c r="N78" s="26">
        <v>815.0</v>
      </c>
      <c r="T78" s="29"/>
      <c r="AB78" s="29"/>
      <c r="AJ78" s="45"/>
    </row>
    <row r="79">
      <c r="B79" s="24">
        <v>40.0</v>
      </c>
      <c r="C79" s="25" t="s">
        <v>103</v>
      </c>
      <c r="D79" s="25">
        <v>0.0</v>
      </c>
      <c r="E79" s="26">
        <v>843.0</v>
      </c>
      <c r="F79" s="26">
        <v>843.0</v>
      </c>
      <c r="L79" s="29"/>
      <c r="T79" s="29"/>
      <c r="AB79" s="29"/>
      <c r="AJ79" s="45"/>
    </row>
    <row r="80">
      <c r="B80" s="24">
        <v>41.0</v>
      </c>
      <c r="C80" s="25" t="s">
        <v>110</v>
      </c>
      <c r="D80" s="25">
        <v>0.0</v>
      </c>
      <c r="E80" s="26">
        <v>863.0</v>
      </c>
      <c r="F80" s="26">
        <v>864.0</v>
      </c>
      <c r="L80" s="25"/>
      <c r="M80" s="26">
        <v>865.0</v>
      </c>
      <c r="N80" s="26">
        <v>865.0</v>
      </c>
      <c r="T80" s="25"/>
      <c r="AB80" s="29"/>
      <c r="AJ80" s="45"/>
    </row>
    <row r="81">
      <c r="B81" s="24">
        <v>42.0</v>
      </c>
      <c r="C81" s="25" t="s">
        <v>219</v>
      </c>
      <c r="D81" s="25">
        <v>0.0</v>
      </c>
      <c r="E81" s="26">
        <v>868.0</v>
      </c>
      <c r="F81" s="26">
        <v>869.0</v>
      </c>
      <c r="L81" s="25"/>
      <c r="M81" s="26">
        <v>865.0</v>
      </c>
      <c r="N81" s="26">
        <v>865.0</v>
      </c>
      <c r="T81" s="25"/>
      <c r="AB81" s="29"/>
      <c r="AJ81" s="45"/>
    </row>
    <row r="82">
      <c r="B82" s="24">
        <v>43.0</v>
      </c>
      <c r="C82" s="25" t="s">
        <v>49</v>
      </c>
      <c r="D82" s="25">
        <v>0.0</v>
      </c>
      <c r="E82" s="26">
        <v>833.0</v>
      </c>
      <c r="F82" s="26">
        <v>834.0</v>
      </c>
      <c r="L82" s="29"/>
      <c r="M82" s="26">
        <v>835.0</v>
      </c>
      <c r="N82" s="26">
        <v>835.0</v>
      </c>
      <c r="T82" s="29"/>
      <c r="AB82" s="29"/>
      <c r="AJ82" s="45"/>
    </row>
    <row r="83">
      <c r="B83" s="24">
        <v>44.0</v>
      </c>
      <c r="C83" s="25" t="s">
        <v>127</v>
      </c>
      <c r="D83" s="25">
        <v>0.0</v>
      </c>
      <c r="E83" s="26">
        <v>591.0</v>
      </c>
      <c r="F83" s="26">
        <v>591.0</v>
      </c>
      <c r="L83" s="29"/>
      <c r="M83" s="26">
        <v>592.0</v>
      </c>
      <c r="N83" s="26">
        <v>592.0</v>
      </c>
      <c r="T83" s="29"/>
      <c r="AB83" s="29"/>
      <c r="AJ83" s="45"/>
    </row>
    <row r="84">
      <c r="B84" s="38">
        <v>45.0</v>
      </c>
      <c r="C84" s="39" t="s">
        <v>127</v>
      </c>
      <c r="D84" s="39">
        <v>0.0</v>
      </c>
      <c r="E84" s="40">
        <v>593.0</v>
      </c>
      <c r="F84" s="40">
        <v>593.0</v>
      </c>
      <c r="G84" s="46"/>
      <c r="H84" s="46"/>
      <c r="I84" s="46"/>
      <c r="J84" s="46"/>
      <c r="K84" s="46"/>
      <c r="L84" s="47"/>
      <c r="M84" s="40">
        <v>594.0</v>
      </c>
      <c r="N84" s="40">
        <v>594.0</v>
      </c>
      <c r="O84" s="46"/>
      <c r="P84" s="46"/>
      <c r="Q84" s="46"/>
      <c r="R84" s="46"/>
      <c r="S84" s="46"/>
      <c r="T84" s="47"/>
      <c r="U84" s="46"/>
      <c r="V84" s="46"/>
      <c r="W84" s="46"/>
      <c r="X84" s="46"/>
      <c r="Y84" s="46"/>
      <c r="Z84" s="46"/>
      <c r="AA84" s="46"/>
      <c r="AB84" s="47"/>
      <c r="AC84" s="46"/>
      <c r="AD84" s="46"/>
      <c r="AE84" s="46"/>
      <c r="AF84" s="46"/>
      <c r="AG84" s="46"/>
      <c r="AH84" s="46"/>
      <c r="AI84" s="46"/>
      <c r="AJ84" s="48"/>
    </row>
  </sheetData>
  <mergeCells count="11">
    <mergeCell ref="E37:L37"/>
    <mergeCell ref="M37:T37"/>
    <mergeCell ref="AC37:AJ37"/>
    <mergeCell ref="B4:B6"/>
    <mergeCell ref="C4:M34"/>
    <mergeCell ref="P4:Q6"/>
    <mergeCell ref="R4:AB34"/>
    <mergeCell ref="B37:B38"/>
    <mergeCell ref="C37:C38"/>
    <mergeCell ref="D37:D38"/>
    <mergeCell ref="U37:AB3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3" max="3" width="18.63"/>
  </cols>
  <sheetData>
    <row r="2">
      <c r="B2" s="13" t="s">
        <v>3</v>
      </c>
      <c r="C2" s="49" t="s">
        <v>220</v>
      </c>
      <c r="D2" s="52" t="s">
        <v>6</v>
      </c>
    </row>
    <row r="3">
      <c r="B3" s="10"/>
      <c r="C3" s="50"/>
      <c r="D3" s="53"/>
    </row>
    <row r="4">
      <c r="B4" s="24">
        <v>0.0</v>
      </c>
      <c r="C4" s="25"/>
      <c r="D4" s="27">
        <v>0.0</v>
      </c>
    </row>
    <row r="5">
      <c r="B5" s="24">
        <v>1.0</v>
      </c>
      <c r="C5" s="25"/>
      <c r="D5" s="27">
        <v>0.0</v>
      </c>
    </row>
    <row r="6">
      <c r="B6" s="24">
        <v>2.0</v>
      </c>
      <c r="C6" s="25"/>
      <c r="D6" s="27">
        <v>0.0</v>
      </c>
    </row>
    <row r="7">
      <c r="B7" s="24">
        <v>3.0</v>
      </c>
      <c r="C7" s="25"/>
      <c r="D7" s="27">
        <v>0.0</v>
      </c>
    </row>
    <row r="8">
      <c r="B8" s="24">
        <v>4.0</v>
      </c>
      <c r="C8" s="25"/>
      <c r="D8" s="27">
        <v>0.0</v>
      </c>
    </row>
    <row r="9">
      <c r="B9" s="24">
        <v>5.0</v>
      </c>
      <c r="C9" s="25"/>
      <c r="D9" s="27">
        <v>0.0</v>
      </c>
    </row>
    <row r="10">
      <c r="B10" s="24">
        <v>6.0</v>
      </c>
      <c r="C10" s="25"/>
      <c r="D10" s="27">
        <v>0.0</v>
      </c>
    </row>
    <row r="11">
      <c r="B11" s="24">
        <v>7.0</v>
      </c>
      <c r="C11" s="25"/>
      <c r="D11" s="27">
        <v>0.0</v>
      </c>
    </row>
    <row r="12">
      <c r="B12" s="24">
        <v>8.0</v>
      </c>
      <c r="C12" s="25"/>
      <c r="D12" s="27">
        <v>0.0</v>
      </c>
    </row>
    <row r="13">
      <c r="B13" s="24">
        <v>9.0</v>
      </c>
      <c r="C13" s="25"/>
      <c r="D13" s="27">
        <v>0.0</v>
      </c>
    </row>
    <row r="14">
      <c r="B14" s="24">
        <v>10.0</v>
      </c>
      <c r="C14" s="25"/>
      <c r="D14" s="27">
        <v>0.0</v>
      </c>
    </row>
    <row r="15">
      <c r="B15" s="24">
        <v>11.0</v>
      </c>
      <c r="C15" s="25"/>
      <c r="D15" s="27">
        <v>0.0</v>
      </c>
    </row>
    <row r="16">
      <c r="B16" s="24">
        <v>12.0</v>
      </c>
      <c r="C16" s="25"/>
      <c r="D16" s="27">
        <v>0.0</v>
      </c>
    </row>
    <row r="17">
      <c r="B17" s="24">
        <v>13.0</v>
      </c>
      <c r="C17" s="25"/>
      <c r="D17" s="27">
        <v>0.0</v>
      </c>
    </row>
    <row r="18">
      <c r="B18" s="24">
        <v>14.0</v>
      </c>
      <c r="C18" s="25"/>
      <c r="D18" s="27">
        <v>0.0</v>
      </c>
    </row>
    <row r="19">
      <c r="B19" s="24">
        <v>15.0</v>
      </c>
      <c r="C19" s="25"/>
      <c r="D19" s="27">
        <v>0.0</v>
      </c>
    </row>
    <row r="20">
      <c r="B20" s="24">
        <v>16.0</v>
      </c>
      <c r="C20" s="25"/>
      <c r="D20" s="27">
        <v>0.0</v>
      </c>
    </row>
    <row r="21">
      <c r="B21" s="24">
        <v>17.0</v>
      </c>
      <c r="C21" s="25"/>
      <c r="D21" s="27">
        <v>0.0</v>
      </c>
    </row>
    <row r="22">
      <c r="B22" s="24">
        <v>18.0</v>
      </c>
      <c r="C22" s="25"/>
      <c r="D22" s="27">
        <v>0.0</v>
      </c>
    </row>
    <row r="23">
      <c r="B23" s="24">
        <v>19.0</v>
      </c>
      <c r="C23" s="25"/>
      <c r="D23" s="27">
        <v>0.0</v>
      </c>
    </row>
    <row r="24">
      <c r="B24" s="24">
        <v>20.0</v>
      </c>
      <c r="C24" s="25"/>
      <c r="D24" s="27">
        <v>0.0</v>
      </c>
    </row>
    <row r="25">
      <c r="B25" s="24">
        <v>21.0</v>
      </c>
      <c r="C25" s="25"/>
      <c r="D25" s="27">
        <v>0.0</v>
      </c>
    </row>
    <row r="26">
      <c r="B26" s="24">
        <v>22.0</v>
      </c>
      <c r="C26" s="25"/>
      <c r="D26" s="27">
        <v>0.0</v>
      </c>
    </row>
    <row r="27">
      <c r="B27" s="24">
        <v>23.0</v>
      </c>
      <c r="C27" s="25"/>
      <c r="D27" s="27">
        <v>0.0</v>
      </c>
    </row>
    <row r="28">
      <c r="B28" s="24">
        <v>24.0</v>
      </c>
      <c r="C28" s="25"/>
      <c r="D28" s="27">
        <v>0.0</v>
      </c>
    </row>
    <row r="29">
      <c r="B29" s="24">
        <v>25.0</v>
      </c>
      <c r="C29" s="25"/>
      <c r="D29" s="27">
        <v>0.0</v>
      </c>
    </row>
    <row r="30">
      <c r="B30" s="24">
        <v>26.0</v>
      </c>
      <c r="C30" s="25"/>
      <c r="D30" s="27">
        <v>0.0</v>
      </c>
    </row>
    <row r="31">
      <c r="B31" s="24">
        <v>27.0</v>
      </c>
      <c r="C31" s="25"/>
      <c r="D31" s="27">
        <v>0.0</v>
      </c>
    </row>
    <row r="32">
      <c r="B32" s="24">
        <v>28.0</v>
      </c>
      <c r="C32" s="25"/>
      <c r="D32" s="27">
        <v>0.0</v>
      </c>
    </row>
    <row r="33">
      <c r="B33" s="24">
        <v>29.0</v>
      </c>
      <c r="C33" s="25"/>
      <c r="D33" s="27">
        <v>0.0</v>
      </c>
    </row>
    <row r="34">
      <c r="B34" s="24">
        <v>30.0</v>
      </c>
      <c r="C34" s="25"/>
      <c r="D34" s="27">
        <v>0.0</v>
      </c>
    </row>
    <row r="35">
      <c r="B35" s="24">
        <v>31.0</v>
      </c>
      <c r="C35" s="25"/>
      <c r="D35" s="27">
        <v>0.0</v>
      </c>
    </row>
    <row r="36">
      <c r="B36" s="24">
        <v>32.0</v>
      </c>
      <c r="C36" s="25"/>
      <c r="D36" s="27">
        <v>0.0</v>
      </c>
    </row>
    <row r="37">
      <c r="B37" s="24">
        <v>33.0</v>
      </c>
      <c r="C37" s="25"/>
      <c r="D37" s="27">
        <v>0.0</v>
      </c>
    </row>
    <row r="38">
      <c r="A38" s="18"/>
      <c r="B38" s="24">
        <v>34.0</v>
      </c>
      <c r="C38" s="25"/>
      <c r="D38" s="27">
        <v>0.0</v>
      </c>
      <c r="E38" s="23"/>
    </row>
    <row r="39">
      <c r="B39" s="24">
        <v>35.0</v>
      </c>
      <c r="C39" s="25"/>
      <c r="D39" s="27">
        <v>0.0</v>
      </c>
    </row>
    <row r="40">
      <c r="B40" s="24">
        <v>36.0</v>
      </c>
      <c r="C40" s="25"/>
      <c r="D40" s="27">
        <v>0.0</v>
      </c>
    </row>
    <row r="41">
      <c r="B41" s="24">
        <v>37.0</v>
      </c>
      <c r="C41" s="25"/>
      <c r="D41" s="27">
        <v>0.0</v>
      </c>
    </row>
    <row r="42">
      <c r="B42" s="24">
        <v>38.0</v>
      </c>
      <c r="C42" s="25"/>
      <c r="D42" s="27">
        <v>0.0</v>
      </c>
    </row>
    <row r="43">
      <c r="B43" s="24">
        <v>39.0</v>
      </c>
      <c r="C43" s="25"/>
      <c r="D43" s="27">
        <v>0.0</v>
      </c>
    </row>
    <row r="44">
      <c r="B44" s="24">
        <v>40.0</v>
      </c>
      <c r="C44" s="25"/>
      <c r="D44" s="27">
        <v>0.0</v>
      </c>
    </row>
    <row r="45">
      <c r="B45" s="24">
        <v>41.0</v>
      </c>
      <c r="C45" s="25"/>
      <c r="D45" s="27">
        <v>0.0</v>
      </c>
    </row>
    <row r="46">
      <c r="B46" s="24">
        <v>42.0</v>
      </c>
      <c r="C46" s="25"/>
      <c r="D46" s="27">
        <v>0.0</v>
      </c>
    </row>
    <row r="47">
      <c r="B47" s="24">
        <v>43.0</v>
      </c>
      <c r="C47" s="25"/>
      <c r="D47" s="27">
        <v>0.0</v>
      </c>
    </row>
    <row r="48">
      <c r="B48" s="24">
        <v>44.0</v>
      </c>
      <c r="C48" s="25"/>
      <c r="D48" s="27">
        <v>0.0</v>
      </c>
    </row>
    <row r="49">
      <c r="B49" s="24">
        <v>45.0</v>
      </c>
      <c r="C49" s="25"/>
      <c r="D49" s="27">
        <v>0.0</v>
      </c>
    </row>
    <row r="50">
      <c r="B50" s="24">
        <v>46.0</v>
      </c>
      <c r="C50" s="25"/>
      <c r="D50" s="27">
        <v>0.0</v>
      </c>
    </row>
    <row r="51">
      <c r="B51" s="24">
        <v>47.0</v>
      </c>
      <c r="C51" s="25"/>
      <c r="D51" s="27">
        <v>0.0</v>
      </c>
    </row>
    <row r="52">
      <c r="B52" s="24">
        <v>48.0</v>
      </c>
      <c r="C52" s="25"/>
      <c r="D52" s="27">
        <v>0.0</v>
      </c>
    </row>
    <row r="53">
      <c r="B53" s="24">
        <v>49.0</v>
      </c>
      <c r="C53" s="25"/>
      <c r="D53" s="27">
        <v>0.0</v>
      </c>
    </row>
    <row r="54">
      <c r="B54" s="24">
        <v>50.0</v>
      </c>
      <c r="C54" s="25"/>
      <c r="D54" s="27">
        <v>0.0</v>
      </c>
    </row>
    <row r="55">
      <c r="B55" s="24">
        <v>51.0</v>
      </c>
      <c r="C55" s="25"/>
      <c r="D55" s="27">
        <v>0.0</v>
      </c>
    </row>
    <row r="56">
      <c r="B56" s="24">
        <v>52.0</v>
      </c>
      <c r="C56" s="25"/>
      <c r="D56" s="27">
        <v>0.0</v>
      </c>
    </row>
    <row r="57">
      <c r="B57" s="24">
        <v>53.0</v>
      </c>
      <c r="C57" s="25"/>
      <c r="D57" s="27">
        <v>0.0</v>
      </c>
    </row>
    <row r="58">
      <c r="B58" s="24">
        <v>54.0</v>
      </c>
      <c r="C58" s="25"/>
      <c r="D58" s="27">
        <v>0.0</v>
      </c>
    </row>
    <row r="59">
      <c r="B59" s="24">
        <v>55.0</v>
      </c>
      <c r="C59" s="25"/>
      <c r="D59" s="27">
        <v>0.0</v>
      </c>
    </row>
    <row r="60">
      <c r="B60" s="24">
        <v>56.0</v>
      </c>
      <c r="C60" s="25"/>
      <c r="D60" s="27">
        <v>0.0</v>
      </c>
    </row>
    <row r="61">
      <c r="B61" s="24">
        <v>57.0</v>
      </c>
      <c r="C61" s="25"/>
      <c r="D61" s="27">
        <v>0.0</v>
      </c>
    </row>
    <row r="62">
      <c r="B62" s="24">
        <v>58.0</v>
      </c>
      <c r="C62" s="25"/>
      <c r="D62" s="27">
        <v>0.0</v>
      </c>
    </row>
    <row r="63">
      <c r="B63" s="24">
        <v>59.0</v>
      </c>
      <c r="C63" s="25"/>
      <c r="D63" s="27">
        <v>0.0</v>
      </c>
    </row>
    <row r="64">
      <c r="B64" s="24">
        <v>60.0</v>
      </c>
      <c r="C64" s="25"/>
      <c r="D64" s="27">
        <v>0.0</v>
      </c>
    </row>
    <row r="65">
      <c r="B65" s="24">
        <v>61.0</v>
      </c>
      <c r="C65" s="25"/>
      <c r="D65" s="27">
        <v>0.0</v>
      </c>
    </row>
    <row r="66">
      <c r="B66" s="24">
        <v>62.0</v>
      </c>
      <c r="C66" s="25"/>
      <c r="D66" s="27">
        <v>0.0</v>
      </c>
    </row>
    <row r="67">
      <c r="B67" s="24">
        <v>63.0</v>
      </c>
      <c r="C67" s="25"/>
      <c r="D67" s="27">
        <v>0.0</v>
      </c>
    </row>
    <row r="68">
      <c r="B68" s="24">
        <v>64.0</v>
      </c>
      <c r="C68" s="25"/>
      <c r="D68" s="27">
        <v>0.0</v>
      </c>
    </row>
    <row r="69">
      <c r="B69" s="24">
        <v>65.0</v>
      </c>
      <c r="C69" s="25"/>
      <c r="D69" s="27">
        <v>0.0</v>
      </c>
    </row>
    <row r="70">
      <c r="B70" s="24">
        <v>66.0</v>
      </c>
      <c r="C70" s="25"/>
      <c r="D70" s="27">
        <v>0.0</v>
      </c>
    </row>
    <row r="71">
      <c r="B71" s="24">
        <v>67.0</v>
      </c>
      <c r="C71" s="25"/>
      <c r="D71" s="27">
        <v>0.0</v>
      </c>
    </row>
    <row r="72">
      <c r="B72" s="24">
        <v>68.0</v>
      </c>
      <c r="C72" s="25"/>
      <c r="D72" s="27">
        <v>0.0</v>
      </c>
    </row>
    <row r="73">
      <c r="B73" s="24">
        <v>69.0</v>
      </c>
      <c r="C73" s="25"/>
      <c r="D73" s="27">
        <v>0.0</v>
      </c>
    </row>
    <row r="74">
      <c r="B74" s="24">
        <v>70.0</v>
      </c>
      <c r="C74" s="25"/>
      <c r="D74" s="27">
        <v>0.0</v>
      </c>
    </row>
    <row r="75">
      <c r="B75" s="24">
        <v>71.0</v>
      </c>
      <c r="C75" s="25"/>
      <c r="D75" s="27">
        <v>0.0</v>
      </c>
    </row>
    <row r="76">
      <c r="B76" s="24">
        <v>72.0</v>
      </c>
      <c r="C76" s="25"/>
      <c r="D76" s="27">
        <v>0.0</v>
      </c>
    </row>
    <row r="77">
      <c r="B77" s="24">
        <v>73.0</v>
      </c>
      <c r="C77" s="25"/>
      <c r="D77" s="27">
        <v>0.0</v>
      </c>
    </row>
    <row r="78">
      <c r="B78" s="24">
        <v>74.0</v>
      </c>
      <c r="C78" s="25"/>
      <c r="D78" s="27">
        <v>0.0</v>
      </c>
    </row>
    <row r="79">
      <c r="B79" s="24">
        <v>75.0</v>
      </c>
      <c r="C79" s="25"/>
      <c r="D79" s="27">
        <v>0.0</v>
      </c>
    </row>
    <row r="80">
      <c r="B80" s="24">
        <v>76.0</v>
      </c>
      <c r="C80" s="25"/>
      <c r="D80" s="27">
        <v>0.0</v>
      </c>
    </row>
    <row r="81">
      <c r="B81" s="24">
        <v>77.0</v>
      </c>
      <c r="C81" s="25"/>
      <c r="D81" s="27">
        <v>0.0</v>
      </c>
    </row>
    <row r="82">
      <c r="B82" s="24">
        <v>78.0</v>
      </c>
      <c r="C82" s="25"/>
      <c r="D82" s="27">
        <v>0.0</v>
      </c>
    </row>
    <row r="83">
      <c r="B83" s="24">
        <v>79.0</v>
      </c>
      <c r="C83" s="25"/>
      <c r="D83" s="27">
        <v>0.0</v>
      </c>
    </row>
    <row r="84">
      <c r="B84" s="24">
        <v>80.0</v>
      </c>
      <c r="C84" s="25"/>
      <c r="D84" s="27">
        <v>0.0</v>
      </c>
    </row>
    <row r="85">
      <c r="B85" s="24">
        <v>81.0</v>
      </c>
      <c r="C85" s="25"/>
      <c r="D85" s="27">
        <v>0.0</v>
      </c>
    </row>
    <row r="86">
      <c r="B86" s="24">
        <v>82.0</v>
      </c>
      <c r="C86" s="25"/>
      <c r="D86" s="27">
        <v>0.0</v>
      </c>
    </row>
    <row r="87">
      <c r="B87" s="24">
        <v>83.0</v>
      </c>
      <c r="C87" s="25"/>
      <c r="D87" s="27">
        <v>0.0</v>
      </c>
    </row>
    <row r="88">
      <c r="B88" s="24">
        <v>84.0</v>
      </c>
      <c r="C88" s="25"/>
      <c r="D88" s="27">
        <v>0.0</v>
      </c>
    </row>
    <row r="89">
      <c r="B89" s="24">
        <v>85.0</v>
      </c>
      <c r="C89" s="25"/>
      <c r="D89" s="27">
        <v>0.0</v>
      </c>
    </row>
    <row r="90">
      <c r="B90" s="24">
        <v>86.0</v>
      </c>
      <c r="C90" s="37"/>
      <c r="D90" s="54">
        <v>0.0</v>
      </c>
    </row>
    <row r="91">
      <c r="B91" s="24">
        <v>87.0</v>
      </c>
      <c r="C91" s="37"/>
      <c r="D91" s="54">
        <v>0.0</v>
      </c>
    </row>
    <row r="92">
      <c r="B92" s="24">
        <v>88.0</v>
      </c>
      <c r="C92" s="37"/>
      <c r="D92" s="54">
        <v>0.0</v>
      </c>
    </row>
    <row r="93">
      <c r="B93" s="24">
        <v>89.0</v>
      </c>
      <c r="C93" s="37"/>
      <c r="D93" s="54">
        <v>0.0</v>
      </c>
    </row>
    <row r="94">
      <c r="B94" s="24">
        <v>90.0</v>
      </c>
      <c r="C94" s="37"/>
      <c r="D94" s="54">
        <v>0.0</v>
      </c>
    </row>
    <row r="95">
      <c r="B95" s="24">
        <v>91.0</v>
      </c>
      <c r="C95" s="37"/>
      <c r="D95" s="54">
        <v>0.0</v>
      </c>
    </row>
    <row r="96">
      <c r="B96" s="24">
        <v>92.0</v>
      </c>
      <c r="C96" s="37"/>
      <c r="D96" s="54">
        <v>0.0</v>
      </c>
    </row>
    <row r="97">
      <c r="B97" s="24">
        <v>93.0</v>
      </c>
      <c r="C97" s="37"/>
      <c r="D97" s="54">
        <v>0.0</v>
      </c>
    </row>
    <row r="98">
      <c r="B98" s="24">
        <v>94.0</v>
      </c>
      <c r="C98" s="37"/>
      <c r="D98" s="54">
        <v>0.0</v>
      </c>
    </row>
    <row r="99">
      <c r="B99" s="24">
        <v>95.0</v>
      </c>
      <c r="C99" s="37"/>
      <c r="D99" s="54">
        <v>0.0</v>
      </c>
    </row>
    <row r="100">
      <c r="B100" s="24">
        <v>96.0</v>
      </c>
      <c r="C100" s="37"/>
      <c r="D100" s="54">
        <v>0.0</v>
      </c>
    </row>
    <row r="101">
      <c r="B101" s="24">
        <v>97.0</v>
      </c>
      <c r="C101" s="37"/>
      <c r="D101" s="54">
        <v>0.0</v>
      </c>
    </row>
    <row r="102">
      <c r="B102" s="24">
        <v>98.0</v>
      </c>
      <c r="C102" s="37"/>
      <c r="D102" s="54">
        <v>0.0</v>
      </c>
    </row>
    <row r="103">
      <c r="B103" s="24">
        <v>99.0</v>
      </c>
      <c r="C103" s="37"/>
      <c r="D103" s="54">
        <v>0.0</v>
      </c>
    </row>
    <row r="104">
      <c r="B104" s="24">
        <v>100.0</v>
      </c>
      <c r="C104" s="37"/>
      <c r="D104" s="54">
        <v>0.0</v>
      </c>
    </row>
    <row r="105">
      <c r="B105" s="24">
        <v>101.0</v>
      </c>
      <c r="C105" s="37"/>
      <c r="D105" s="54">
        <v>0.0</v>
      </c>
    </row>
    <row r="106">
      <c r="B106" s="24">
        <v>102.0</v>
      </c>
      <c r="C106" s="37"/>
      <c r="D106" s="54">
        <v>0.0</v>
      </c>
    </row>
    <row r="107">
      <c r="B107" s="24">
        <v>103.0</v>
      </c>
      <c r="C107" s="37"/>
      <c r="D107" s="54">
        <v>0.0</v>
      </c>
    </row>
    <row r="108">
      <c r="B108" s="24">
        <v>104.0</v>
      </c>
      <c r="C108" s="37"/>
      <c r="D108" s="54">
        <v>0.0</v>
      </c>
    </row>
    <row r="109">
      <c r="B109" s="24">
        <v>105.0</v>
      </c>
      <c r="C109" s="37"/>
      <c r="D109" s="54">
        <v>0.0</v>
      </c>
    </row>
    <row r="110">
      <c r="B110" s="24">
        <v>106.0</v>
      </c>
      <c r="C110" s="37"/>
      <c r="D110" s="54">
        <v>0.0</v>
      </c>
    </row>
    <row r="111">
      <c r="B111" s="24">
        <v>107.0</v>
      </c>
      <c r="C111" s="37"/>
      <c r="D111" s="54">
        <v>0.0</v>
      </c>
    </row>
    <row r="112">
      <c r="B112" s="24">
        <v>108.0</v>
      </c>
      <c r="C112" s="37"/>
      <c r="D112" s="54">
        <v>0.0</v>
      </c>
    </row>
    <row r="113">
      <c r="B113" s="24">
        <v>109.0</v>
      </c>
      <c r="C113" s="37"/>
      <c r="D113" s="54">
        <v>0.0</v>
      </c>
    </row>
    <row r="114">
      <c r="B114" s="24">
        <v>110.0</v>
      </c>
      <c r="C114" s="37"/>
      <c r="D114" s="54">
        <v>0.0</v>
      </c>
    </row>
    <row r="115">
      <c r="B115" s="24">
        <v>111.0</v>
      </c>
      <c r="C115" s="37"/>
      <c r="D115" s="54">
        <v>0.0</v>
      </c>
    </row>
    <row r="116">
      <c r="B116" s="24">
        <v>112.0</v>
      </c>
      <c r="C116" s="37"/>
      <c r="D116" s="54">
        <v>0.0</v>
      </c>
    </row>
    <row r="117">
      <c r="B117" s="24">
        <v>113.0</v>
      </c>
      <c r="C117" s="37"/>
      <c r="D117" s="54">
        <v>0.0</v>
      </c>
    </row>
    <row r="118">
      <c r="B118" s="24">
        <v>114.0</v>
      </c>
      <c r="C118" s="37"/>
      <c r="D118" s="54">
        <v>0.0</v>
      </c>
    </row>
    <row r="119">
      <c r="B119" s="24">
        <v>115.0</v>
      </c>
      <c r="C119" s="37"/>
      <c r="D119" s="54">
        <v>0.0</v>
      </c>
    </row>
    <row r="120">
      <c r="B120" s="24">
        <v>116.0</v>
      </c>
      <c r="C120" s="37"/>
      <c r="D120" s="54">
        <v>0.0</v>
      </c>
    </row>
    <row r="121">
      <c r="B121" s="24">
        <v>117.0</v>
      </c>
      <c r="C121" s="37"/>
      <c r="D121" s="54">
        <v>0.0</v>
      </c>
    </row>
    <row r="122">
      <c r="B122" s="24">
        <v>118.0</v>
      </c>
      <c r="C122" s="37"/>
      <c r="D122" s="54">
        <v>0.0</v>
      </c>
    </row>
    <row r="123">
      <c r="B123" s="24">
        <v>119.0</v>
      </c>
      <c r="C123" s="37"/>
      <c r="D123" s="54">
        <v>0.0</v>
      </c>
    </row>
    <row r="124">
      <c r="B124" s="24">
        <v>120.0</v>
      </c>
      <c r="C124" s="37"/>
      <c r="D124" s="54">
        <v>0.0</v>
      </c>
    </row>
    <row r="125">
      <c r="B125" s="24">
        <v>121.0</v>
      </c>
      <c r="C125" s="37"/>
      <c r="D125" s="54">
        <v>0.0</v>
      </c>
    </row>
    <row r="126">
      <c r="B126" s="24">
        <v>122.0</v>
      </c>
      <c r="C126" s="37"/>
      <c r="D126" s="54">
        <v>0.0</v>
      </c>
    </row>
    <row r="127">
      <c r="B127" s="24">
        <v>123.0</v>
      </c>
      <c r="C127" s="37"/>
      <c r="D127" s="54">
        <v>0.0</v>
      </c>
    </row>
    <row r="128">
      <c r="B128" s="24">
        <v>124.0</v>
      </c>
      <c r="C128" s="37"/>
      <c r="D128" s="54">
        <v>0.0</v>
      </c>
    </row>
    <row r="129">
      <c r="B129" s="24">
        <v>125.0</v>
      </c>
      <c r="C129" s="37"/>
      <c r="D129" s="54">
        <v>0.0</v>
      </c>
    </row>
    <row r="130">
      <c r="B130" s="24">
        <v>126.0</v>
      </c>
      <c r="C130" s="37"/>
      <c r="D130" s="54">
        <v>0.0</v>
      </c>
    </row>
    <row r="131">
      <c r="B131" s="24">
        <v>127.0</v>
      </c>
      <c r="C131" s="37"/>
      <c r="D131" s="54">
        <v>0.0</v>
      </c>
    </row>
    <row r="132">
      <c r="B132" s="24">
        <v>128.0</v>
      </c>
      <c r="C132" s="37"/>
      <c r="D132" s="54">
        <v>0.0</v>
      </c>
    </row>
    <row r="133">
      <c r="B133" s="24">
        <v>129.0</v>
      </c>
      <c r="C133" s="25"/>
      <c r="D133" s="27">
        <v>0.0</v>
      </c>
    </row>
    <row r="134">
      <c r="B134" s="24">
        <v>130.0</v>
      </c>
      <c r="C134" s="25"/>
      <c r="D134" s="27">
        <v>0.0</v>
      </c>
    </row>
    <row r="135">
      <c r="B135" s="24">
        <v>131.0</v>
      </c>
      <c r="C135" s="25"/>
      <c r="D135" s="27">
        <v>0.0</v>
      </c>
    </row>
    <row r="136">
      <c r="B136" s="24">
        <v>132.0</v>
      </c>
      <c r="C136" s="25"/>
      <c r="D136" s="27">
        <v>0.0</v>
      </c>
    </row>
    <row r="137">
      <c r="B137" s="24">
        <v>133.0</v>
      </c>
      <c r="C137" s="25"/>
      <c r="D137" s="27">
        <v>0.0</v>
      </c>
    </row>
    <row r="138">
      <c r="B138" s="24">
        <v>134.0</v>
      </c>
      <c r="C138" s="25"/>
      <c r="D138" s="27">
        <v>0.0</v>
      </c>
    </row>
    <row r="139">
      <c r="B139" s="24">
        <v>135.0</v>
      </c>
      <c r="C139" s="25"/>
      <c r="D139" s="27">
        <v>0.0</v>
      </c>
    </row>
    <row r="140">
      <c r="B140" s="24">
        <v>136.0</v>
      </c>
      <c r="C140" s="25"/>
      <c r="D140" s="27">
        <v>0.0</v>
      </c>
    </row>
    <row r="141">
      <c r="B141" s="24">
        <v>137.0</v>
      </c>
      <c r="C141" s="25"/>
      <c r="D141" s="27">
        <v>0.0</v>
      </c>
    </row>
    <row r="142">
      <c r="B142" s="24">
        <v>138.0</v>
      </c>
      <c r="C142" s="25"/>
      <c r="D142" s="27">
        <v>0.0</v>
      </c>
    </row>
    <row r="143">
      <c r="B143" s="24">
        <v>139.0</v>
      </c>
      <c r="C143" s="25"/>
      <c r="D143" s="27">
        <v>0.0</v>
      </c>
    </row>
    <row r="144">
      <c r="B144" s="24">
        <v>140.0</v>
      </c>
      <c r="C144" s="25"/>
      <c r="D144" s="27">
        <v>0.0</v>
      </c>
    </row>
    <row r="145">
      <c r="B145" s="24">
        <v>141.0</v>
      </c>
      <c r="C145" s="25"/>
      <c r="D145" s="27">
        <v>0.0</v>
      </c>
    </row>
    <row r="146">
      <c r="B146" s="24">
        <v>142.0</v>
      </c>
      <c r="C146" s="25"/>
      <c r="D146" s="27">
        <v>0.0</v>
      </c>
    </row>
    <row r="147">
      <c r="B147" s="24">
        <v>143.0</v>
      </c>
      <c r="C147" s="25"/>
      <c r="D147" s="27">
        <v>0.0</v>
      </c>
    </row>
    <row r="148">
      <c r="B148" s="24">
        <v>144.0</v>
      </c>
      <c r="C148" s="25"/>
      <c r="D148" s="27">
        <v>0.0</v>
      </c>
    </row>
    <row r="149">
      <c r="B149" s="24">
        <v>145.0</v>
      </c>
      <c r="C149" s="25"/>
      <c r="D149" s="27">
        <v>0.0</v>
      </c>
    </row>
    <row r="150">
      <c r="B150" s="24">
        <v>146.0</v>
      </c>
      <c r="C150" s="25"/>
      <c r="D150" s="27">
        <v>0.0</v>
      </c>
    </row>
    <row r="151">
      <c r="B151" s="24">
        <v>147.0</v>
      </c>
      <c r="C151" s="25"/>
      <c r="D151" s="27">
        <v>0.0</v>
      </c>
    </row>
    <row r="152">
      <c r="B152" s="24">
        <v>148.0</v>
      </c>
      <c r="C152" s="25"/>
      <c r="D152" s="27">
        <v>0.0</v>
      </c>
    </row>
    <row r="153">
      <c r="B153" s="24">
        <v>149.0</v>
      </c>
      <c r="C153" s="25"/>
      <c r="D153" s="27">
        <v>0.0</v>
      </c>
    </row>
    <row r="154">
      <c r="B154" s="24">
        <v>150.0</v>
      </c>
      <c r="C154" s="25"/>
      <c r="D154" s="27">
        <v>0.0</v>
      </c>
    </row>
    <row r="155">
      <c r="B155" s="24">
        <v>151.0</v>
      </c>
      <c r="C155" s="25"/>
      <c r="D155" s="27">
        <v>0.0</v>
      </c>
    </row>
    <row r="156">
      <c r="B156" s="24">
        <v>152.0</v>
      </c>
      <c r="C156" s="25"/>
      <c r="D156" s="27">
        <v>0.0</v>
      </c>
    </row>
    <row r="157">
      <c r="B157" s="24">
        <v>153.0</v>
      </c>
      <c r="C157" s="25"/>
      <c r="D157" s="27">
        <v>0.0</v>
      </c>
    </row>
    <row r="158">
      <c r="B158" s="24">
        <v>154.0</v>
      </c>
      <c r="C158" s="25"/>
      <c r="D158" s="27">
        <v>0.0</v>
      </c>
    </row>
    <row r="159">
      <c r="B159" s="24">
        <v>155.0</v>
      </c>
      <c r="C159" s="25"/>
      <c r="D159" s="27">
        <v>0.0</v>
      </c>
    </row>
    <row r="160">
      <c r="B160" s="24">
        <v>156.0</v>
      </c>
      <c r="C160" s="25"/>
      <c r="D160" s="27">
        <v>0.0</v>
      </c>
    </row>
    <row r="161">
      <c r="B161" s="24">
        <v>157.0</v>
      </c>
      <c r="C161" s="25"/>
      <c r="D161" s="27">
        <v>0.0</v>
      </c>
    </row>
    <row r="162">
      <c r="B162" s="24">
        <v>158.0</v>
      </c>
      <c r="C162" s="25"/>
      <c r="D162" s="27">
        <v>0.0</v>
      </c>
    </row>
    <row r="163">
      <c r="B163" s="24">
        <v>159.0</v>
      </c>
      <c r="C163" s="25"/>
      <c r="D163" s="27">
        <v>0.0</v>
      </c>
    </row>
    <row r="164">
      <c r="B164" s="24">
        <v>160.0</v>
      </c>
      <c r="C164" s="25"/>
      <c r="D164" s="27">
        <v>0.0</v>
      </c>
    </row>
    <row r="165">
      <c r="B165" s="24">
        <v>161.0</v>
      </c>
      <c r="C165" s="25"/>
      <c r="D165" s="27">
        <v>0.0</v>
      </c>
    </row>
    <row r="166">
      <c r="B166" s="24">
        <v>162.0</v>
      </c>
      <c r="C166" s="25"/>
      <c r="D166" s="27">
        <v>0.0</v>
      </c>
    </row>
    <row r="167">
      <c r="B167" s="24">
        <v>163.0</v>
      </c>
      <c r="C167" s="25"/>
      <c r="D167" s="27">
        <v>0.0</v>
      </c>
    </row>
    <row r="168">
      <c r="B168" s="24">
        <v>164.0</v>
      </c>
      <c r="C168" s="25"/>
      <c r="D168" s="27">
        <v>0.0</v>
      </c>
    </row>
    <row r="169">
      <c r="B169" s="24">
        <v>165.0</v>
      </c>
      <c r="C169" s="25"/>
      <c r="D169" s="27">
        <v>0.0</v>
      </c>
    </row>
    <row r="170">
      <c r="B170" s="24">
        <v>166.0</v>
      </c>
      <c r="C170" s="25"/>
      <c r="D170" s="27">
        <v>0.0</v>
      </c>
    </row>
    <row r="171">
      <c r="B171" s="24">
        <v>167.0</v>
      </c>
      <c r="C171" s="25"/>
      <c r="D171" s="27">
        <v>0.0</v>
      </c>
    </row>
    <row r="172">
      <c r="B172" s="24">
        <v>168.0</v>
      </c>
      <c r="C172" s="25"/>
      <c r="D172" s="27">
        <v>0.0</v>
      </c>
    </row>
    <row r="173">
      <c r="B173" s="24">
        <v>169.0</v>
      </c>
      <c r="C173" s="25"/>
      <c r="D173" s="27">
        <v>0.0</v>
      </c>
    </row>
    <row r="174">
      <c r="B174" s="24">
        <v>170.0</v>
      </c>
      <c r="C174" s="25"/>
      <c r="D174" s="27">
        <v>0.0</v>
      </c>
    </row>
    <row r="175">
      <c r="B175" s="24">
        <v>171.0</v>
      </c>
      <c r="C175" s="25"/>
      <c r="D175" s="27">
        <v>0.0</v>
      </c>
    </row>
    <row r="176">
      <c r="B176" s="24">
        <v>172.0</v>
      </c>
      <c r="C176" s="25"/>
      <c r="D176" s="27">
        <v>0.0</v>
      </c>
    </row>
    <row r="177">
      <c r="B177" s="24">
        <v>173.0</v>
      </c>
      <c r="C177" s="25"/>
      <c r="D177" s="27">
        <v>0.0</v>
      </c>
    </row>
    <row r="178">
      <c r="B178" s="24">
        <v>174.0</v>
      </c>
      <c r="C178" s="25"/>
      <c r="D178" s="27">
        <v>0.0</v>
      </c>
    </row>
    <row r="179">
      <c r="B179" s="24">
        <v>175.0</v>
      </c>
      <c r="C179" s="25"/>
      <c r="D179" s="27">
        <v>0.0</v>
      </c>
    </row>
    <row r="180">
      <c r="B180" s="24">
        <v>176.0</v>
      </c>
      <c r="C180" s="25"/>
      <c r="D180" s="27">
        <v>0.0</v>
      </c>
    </row>
    <row r="181">
      <c r="B181" s="24">
        <v>177.0</v>
      </c>
      <c r="C181" s="25"/>
      <c r="D181" s="27">
        <v>0.0</v>
      </c>
    </row>
    <row r="182">
      <c r="B182" s="24">
        <v>178.0</v>
      </c>
      <c r="C182" s="25"/>
      <c r="D182" s="27">
        <v>0.0</v>
      </c>
    </row>
    <row r="183">
      <c r="B183" s="24">
        <v>179.0</v>
      </c>
      <c r="C183" s="25"/>
      <c r="D183" s="27">
        <v>0.0</v>
      </c>
    </row>
    <row r="184">
      <c r="B184" s="24">
        <v>180.0</v>
      </c>
      <c r="C184" s="25"/>
      <c r="D184" s="27">
        <v>0.0</v>
      </c>
    </row>
    <row r="185">
      <c r="B185" s="24">
        <v>181.0</v>
      </c>
      <c r="C185" s="25"/>
      <c r="D185" s="27">
        <v>0.0</v>
      </c>
    </row>
    <row r="186">
      <c r="B186" s="24">
        <v>182.0</v>
      </c>
      <c r="C186" s="25"/>
      <c r="D186" s="27">
        <v>0.0</v>
      </c>
    </row>
    <row r="187">
      <c r="B187" s="24">
        <v>183.0</v>
      </c>
      <c r="C187" s="25"/>
      <c r="D187" s="27">
        <v>0.0</v>
      </c>
    </row>
    <row r="188">
      <c r="B188" s="24">
        <v>184.0</v>
      </c>
      <c r="C188" s="25"/>
      <c r="D188" s="27">
        <v>0.0</v>
      </c>
    </row>
    <row r="189">
      <c r="B189" s="24">
        <v>185.0</v>
      </c>
      <c r="C189" s="25"/>
      <c r="D189" s="27">
        <v>0.0</v>
      </c>
    </row>
    <row r="190">
      <c r="B190" s="24">
        <v>186.0</v>
      </c>
      <c r="C190" s="25"/>
      <c r="D190" s="27">
        <v>0.0</v>
      </c>
    </row>
    <row r="191">
      <c r="B191" s="24">
        <v>187.0</v>
      </c>
      <c r="C191" s="25"/>
      <c r="D191" s="27">
        <v>0.0</v>
      </c>
    </row>
    <row r="192">
      <c r="B192" s="24">
        <v>188.0</v>
      </c>
      <c r="C192" s="25"/>
      <c r="D192" s="27">
        <v>0.0</v>
      </c>
    </row>
    <row r="193">
      <c r="B193" s="24">
        <v>189.0</v>
      </c>
      <c r="C193" s="25"/>
      <c r="D193" s="27">
        <v>0.0</v>
      </c>
    </row>
    <row r="194">
      <c r="B194" s="24">
        <v>190.0</v>
      </c>
      <c r="C194" s="25"/>
      <c r="D194" s="27">
        <v>0.0</v>
      </c>
    </row>
    <row r="195">
      <c r="B195" s="24">
        <v>191.0</v>
      </c>
      <c r="C195" s="25"/>
      <c r="D195" s="27">
        <v>0.0</v>
      </c>
    </row>
    <row r="196">
      <c r="B196" s="24">
        <v>192.0</v>
      </c>
      <c r="C196" s="25"/>
      <c r="D196" s="27">
        <v>0.0</v>
      </c>
    </row>
    <row r="197">
      <c r="B197" s="24">
        <v>193.0</v>
      </c>
      <c r="C197" s="25"/>
      <c r="D197" s="27">
        <v>0.0</v>
      </c>
    </row>
    <row r="198">
      <c r="B198" s="24">
        <v>194.0</v>
      </c>
      <c r="C198" s="25"/>
      <c r="D198" s="27">
        <v>0.0</v>
      </c>
    </row>
    <row r="199">
      <c r="B199" s="24">
        <v>195.0</v>
      </c>
      <c r="C199" s="25"/>
      <c r="D199" s="27">
        <v>0.0</v>
      </c>
    </row>
    <row r="200">
      <c r="B200" s="24">
        <v>196.0</v>
      </c>
      <c r="C200" s="25"/>
      <c r="D200" s="27">
        <v>0.0</v>
      </c>
    </row>
    <row r="201">
      <c r="B201" s="24">
        <v>197.0</v>
      </c>
      <c r="C201" s="25"/>
      <c r="D201" s="27">
        <v>0.0</v>
      </c>
    </row>
    <row r="202">
      <c r="B202" s="24">
        <v>198.0</v>
      </c>
      <c r="C202" s="25"/>
      <c r="D202" s="27">
        <v>0.0</v>
      </c>
    </row>
    <row r="203">
      <c r="B203" s="24">
        <v>199.0</v>
      </c>
      <c r="C203" s="25"/>
      <c r="D203" s="27">
        <v>0.0</v>
      </c>
    </row>
    <row r="204">
      <c r="B204" s="24">
        <v>200.0</v>
      </c>
      <c r="C204" s="25"/>
      <c r="D204" s="27">
        <v>0.0</v>
      </c>
    </row>
    <row r="205">
      <c r="B205" s="24">
        <v>201.0</v>
      </c>
      <c r="C205" s="25"/>
      <c r="D205" s="27">
        <v>0.0</v>
      </c>
    </row>
    <row r="206">
      <c r="B206" s="24">
        <v>202.0</v>
      </c>
      <c r="C206" s="25"/>
      <c r="D206" s="27">
        <v>0.0</v>
      </c>
    </row>
    <row r="207">
      <c r="B207" s="24">
        <v>203.0</v>
      </c>
      <c r="C207" s="25"/>
      <c r="D207" s="27">
        <v>0.0</v>
      </c>
    </row>
    <row r="208">
      <c r="B208" s="24">
        <v>204.0</v>
      </c>
      <c r="C208" s="25"/>
      <c r="D208" s="27">
        <v>0.0</v>
      </c>
    </row>
    <row r="209">
      <c r="B209" s="24">
        <v>205.0</v>
      </c>
      <c r="C209" s="25"/>
      <c r="D209" s="27">
        <v>0.0</v>
      </c>
    </row>
    <row r="210">
      <c r="B210" s="24">
        <v>206.0</v>
      </c>
      <c r="C210" s="25"/>
      <c r="D210" s="27">
        <v>0.0</v>
      </c>
    </row>
    <row r="211">
      <c r="B211" s="24">
        <v>207.0</v>
      </c>
      <c r="C211" s="25"/>
      <c r="D211" s="27">
        <v>0.0</v>
      </c>
    </row>
    <row r="212">
      <c r="B212" s="24">
        <v>208.0</v>
      </c>
      <c r="C212" s="25"/>
      <c r="D212" s="27">
        <v>0.0</v>
      </c>
    </row>
    <row r="213">
      <c r="B213" s="24">
        <v>209.0</v>
      </c>
      <c r="C213" s="25"/>
      <c r="D213" s="27">
        <v>0.0</v>
      </c>
    </row>
    <row r="214">
      <c r="B214" s="24">
        <v>210.0</v>
      </c>
      <c r="C214" s="25"/>
      <c r="D214" s="27">
        <v>0.0</v>
      </c>
    </row>
    <row r="215">
      <c r="B215" s="24">
        <v>211.0</v>
      </c>
      <c r="C215" s="37"/>
      <c r="D215" s="54">
        <v>0.0</v>
      </c>
    </row>
    <row r="216">
      <c r="B216" s="24">
        <v>212.0</v>
      </c>
      <c r="C216" s="37"/>
      <c r="D216" s="54">
        <v>0.0</v>
      </c>
    </row>
    <row r="217">
      <c r="B217" s="24">
        <v>213.0</v>
      </c>
      <c r="C217" s="37"/>
      <c r="D217" s="54">
        <v>0.0</v>
      </c>
    </row>
    <row r="218">
      <c r="B218" s="24">
        <v>214.0</v>
      </c>
      <c r="C218" s="37"/>
      <c r="D218" s="54">
        <v>0.0</v>
      </c>
    </row>
    <row r="219">
      <c r="B219" s="24">
        <v>215.0</v>
      </c>
      <c r="C219" s="37"/>
      <c r="D219" s="54">
        <v>0.0</v>
      </c>
    </row>
    <row r="220">
      <c r="B220" s="24">
        <v>216.0</v>
      </c>
      <c r="C220" s="37"/>
      <c r="D220" s="54">
        <v>0.0</v>
      </c>
    </row>
    <row r="221">
      <c r="B221" s="24">
        <v>217.0</v>
      </c>
      <c r="C221" s="37"/>
      <c r="D221" s="54">
        <v>0.0</v>
      </c>
    </row>
    <row r="222">
      <c r="B222" s="24">
        <v>218.0</v>
      </c>
      <c r="C222" s="37"/>
      <c r="D222" s="54">
        <v>0.0</v>
      </c>
    </row>
    <row r="223">
      <c r="B223" s="24">
        <v>219.0</v>
      </c>
      <c r="C223" s="37"/>
      <c r="D223" s="54">
        <v>0.0</v>
      </c>
    </row>
    <row r="224">
      <c r="B224" s="24">
        <v>220.0</v>
      </c>
      <c r="C224" s="37"/>
      <c r="D224" s="54">
        <v>0.0</v>
      </c>
    </row>
    <row r="225">
      <c r="B225" s="24">
        <v>221.0</v>
      </c>
      <c r="C225" s="37"/>
      <c r="D225" s="54">
        <v>0.0</v>
      </c>
    </row>
    <row r="226">
      <c r="B226" s="24">
        <v>222.0</v>
      </c>
      <c r="C226" s="37"/>
      <c r="D226" s="54">
        <v>0.0</v>
      </c>
    </row>
    <row r="227">
      <c r="B227" s="24">
        <v>223.0</v>
      </c>
      <c r="C227" s="37"/>
      <c r="D227" s="54">
        <v>0.0</v>
      </c>
    </row>
    <row r="228">
      <c r="B228" s="24">
        <v>224.0</v>
      </c>
      <c r="C228" s="37"/>
      <c r="D228" s="54">
        <v>0.0</v>
      </c>
    </row>
    <row r="229">
      <c r="B229" s="24">
        <v>225.0</v>
      </c>
      <c r="C229" s="37"/>
      <c r="D229" s="54">
        <v>0.0</v>
      </c>
    </row>
    <row r="230">
      <c r="B230" s="24">
        <v>226.0</v>
      </c>
      <c r="C230" s="37"/>
      <c r="D230" s="54">
        <v>0.0</v>
      </c>
    </row>
    <row r="231">
      <c r="B231" s="24">
        <v>227.0</v>
      </c>
      <c r="C231" s="37"/>
      <c r="D231" s="54">
        <v>0.0</v>
      </c>
    </row>
    <row r="232">
      <c r="B232" s="24">
        <v>228.0</v>
      </c>
      <c r="C232" s="37"/>
      <c r="D232" s="54">
        <v>0.0</v>
      </c>
    </row>
    <row r="233">
      <c r="B233" s="24">
        <v>229.0</v>
      </c>
      <c r="C233" s="37"/>
      <c r="D233" s="54">
        <v>0.0</v>
      </c>
    </row>
    <row r="234">
      <c r="B234" s="24">
        <v>230.0</v>
      </c>
      <c r="C234" s="37"/>
      <c r="D234" s="54">
        <v>0.0</v>
      </c>
    </row>
    <row r="235">
      <c r="B235" s="24">
        <v>231.0</v>
      </c>
      <c r="C235" s="37"/>
      <c r="D235" s="54">
        <v>0.0</v>
      </c>
    </row>
    <row r="236">
      <c r="B236" s="24">
        <v>232.0</v>
      </c>
      <c r="C236" s="37"/>
      <c r="D236" s="54">
        <v>0.0</v>
      </c>
    </row>
    <row r="237">
      <c r="B237" s="24">
        <v>233.0</v>
      </c>
      <c r="C237" s="37"/>
      <c r="D237" s="54">
        <v>0.0</v>
      </c>
    </row>
    <row r="238">
      <c r="B238" s="24">
        <v>234.0</v>
      </c>
      <c r="C238" s="37"/>
      <c r="D238" s="54">
        <v>0.0</v>
      </c>
    </row>
    <row r="239">
      <c r="B239" s="24">
        <v>235.0</v>
      </c>
      <c r="C239" s="37"/>
      <c r="D239" s="54">
        <v>0.0</v>
      </c>
    </row>
    <row r="240">
      <c r="B240" s="24">
        <v>236.0</v>
      </c>
      <c r="C240" s="37"/>
      <c r="D240" s="54">
        <v>0.0</v>
      </c>
    </row>
    <row r="241">
      <c r="B241" s="24">
        <v>237.0</v>
      </c>
      <c r="C241" s="37"/>
      <c r="D241" s="54">
        <v>0.0</v>
      </c>
    </row>
    <row r="242">
      <c r="B242" s="24">
        <v>238.0</v>
      </c>
      <c r="C242" s="37"/>
      <c r="D242" s="54">
        <v>0.0</v>
      </c>
    </row>
    <row r="243">
      <c r="B243" s="24">
        <v>239.0</v>
      </c>
      <c r="C243" s="37"/>
      <c r="D243" s="54">
        <v>0.0</v>
      </c>
    </row>
    <row r="244">
      <c r="B244" s="24">
        <v>240.0</v>
      </c>
      <c r="C244" s="37"/>
      <c r="D244" s="54">
        <v>0.0</v>
      </c>
    </row>
    <row r="245">
      <c r="B245" s="24">
        <v>241.0</v>
      </c>
      <c r="C245" s="37"/>
      <c r="D245" s="54">
        <v>0.0</v>
      </c>
    </row>
    <row r="246">
      <c r="B246" s="24">
        <v>242.0</v>
      </c>
      <c r="C246" s="37"/>
      <c r="D246" s="54">
        <v>0.0</v>
      </c>
    </row>
    <row r="247">
      <c r="B247" s="24">
        <v>243.0</v>
      </c>
      <c r="C247" s="37"/>
      <c r="D247" s="54">
        <v>0.0</v>
      </c>
    </row>
    <row r="248">
      <c r="B248" s="24">
        <v>244.0</v>
      </c>
      <c r="C248" s="37"/>
      <c r="D248" s="54">
        <v>0.0</v>
      </c>
    </row>
    <row r="249">
      <c r="B249" s="24">
        <v>245.0</v>
      </c>
      <c r="C249" s="37"/>
      <c r="D249" s="54">
        <v>0.0</v>
      </c>
    </row>
    <row r="250">
      <c r="B250" s="24">
        <v>246.0</v>
      </c>
      <c r="C250" s="37"/>
      <c r="D250" s="54">
        <v>0.0</v>
      </c>
    </row>
    <row r="251">
      <c r="B251" s="24">
        <v>247.0</v>
      </c>
      <c r="C251" s="37"/>
      <c r="D251" s="54">
        <v>0.0</v>
      </c>
    </row>
    <row r="252">
      <c r="B252" s="24">
        <v>248.0</v>
      </c>
      <c r="C252" s="37"/>
      <c r="D252" s="54">
        <v>0.0</v>
      </c>
    </row>
    <row r="253">
      <c r="B253" s="24">
        <v>249.0</v>
      </c>
      <c r="C253" s="37"/>
      <c r="D253" s="54">
        <v>0.0</v>
      </c>
    </row>
    <row r="254">
      <c r="B254" s="24">
        <v>250.0</v>
      </c>
      <c r="C254" s="37"/>
      <c r="D254" s="54">
        <v>0.0</v>
      </c>
    </row>
    <row r="255">
      <c r="B255" s="24">
        <v>251.0</v>
      </c>
      <c r="C255" s="37"/>
      <c r="D255" s="54">
        <v>0.0</v>
      </c>
    </row>
    <row r="256">
      <c r="B256" s="24">
        <v>252.0</v>
      </c>
      <c r="C256" s="37"/>
      <c r="D256" s="54">
        <v>0.0</v>
      </c>
    </row>
    <row r="257">
      <c r="B257" s="24">
        <v>253.0</v>
      </c>
      <c r="C257" s="37"/>
      <c r="D257" s="54">
        <v>0.0</v>
      </c>
    </row>
    <row r="258">
      <c r="B258" s="24">
        <v>254.0</v>
      </c>
      <c r="C258" s="37"/>
      <c r="D258" s="54">
        <v>0.0</v>
      </c>
    </row>
    <row r="259">
      <c r="B259" s="24">
        <v>255.0</v>
      </c>
      <c r="C259" s="37"/>
      <c r="D259" s="54">
        <v>0.0</v>
      </c>
    </row>
    <row r="260">
      <c r="B260" s="24">
        <v>256.0</v>
      </c>
      <c r="C260" s="37"/>
      <c r="D260" s="54">
        <v>0.0</v>
      </c>
    </row>
    <row r="261">
      <c r="B261" s="24">
        <v>257.0</v>
      </c>
      <c r="C261" s="37"/>
      <c r="D261" s="54">
        <v>0.0</v>
      </c>
    </row>
    <row r="262">
      <c r="B262" s="24">
        <v>258.0</v>
      </c>
      <c r="C262" s="37"/>
      <c r="D262" s="54">
        <v>0.0</v>
      </c>
    </row>
    <row r="263">
      <c r="B263" s="24">
        <v>259.0</v>
      </c>
      <c r="C263" s="37"/>
      <c r="D263" s="54">
        <v>0.0</v>
      </c>
    </row>
    <row r="264">
      <c r="B264" s="24">
        <v>260.0</v>
      </c>
      <c r="C264" s="37"/>
      <c r="D264" s="54">
        <v>0.0</v>
      </c>
    </row>
    <row r="265">
      <c r="B265" s="24">
        <v>261.0</v>
      </c>
      <c r="C265" s="37"/>
      <c r="D265" s="54">
        <v>0.0</v>
      </c>
    </row>
    <row r="266">
      <c r="B266" s="24">
        <v>262.0</v>
      </c>
      <c r="C266" s="37"/>
      <c r="D266" s="54">
        <v>0.0</v>
      </c>
    </row>
    <row r="267">
      <c r="B267" s="24">
        <v>263.0</v>
      </c>
      <c r="C267" s="37"/>
      <c r="D267" s="54">
        <v>0.0</v>
      </c>
    </row>
    <row r="268">
      <c r="B268" s="24">
        <v>264.0</v>
      </c>
      <c r="C268" s="37"/>
      <c r="D268" s="54">
        <v>0.0</v>
      </c>
    </row>
    <row r="269">
      <c r="B269" s="24">
        <v>265.0</v>
      </c>
      <c r="C269" s="37"/>
      <c r="D269" s="54">
        <v>0.0</v>
      </c>
    </row>
    <row r="270">
      <c r="B270" s="24">
        <v>266.0</v>
      </c>
      <c r="C270" s="37"/>
      <c r="D270" s="54">
        <v>0.0</v>
      </c>
    </row>
    <row r="271">
      <c r="B271" s="24">
        <v>267.0</v>
      </c>
      <c r="C271" s="37"/>
      <c r="D271" s="54">
        <v>0.0</v>
      </c>
    </row>
    <row r="272">
      <c r="B272" s="24">
        <v>268.0</v>
      </c>
      <c r="C272" s="37"/>
      <c r="D272" s="54">
        <v>0.0</v>
      </c>
    </row>
    <row r="273">
      <c r="B273" s="24">
        <v>269.0</v>
      </c>
      <c r="C273" s="37"/>
      <c r="D273" s="54">
        <v>0.0</v>
      </c>
    </row>
    <row r="274">
      <c r="B274" s="24">
        <v>270.0</v>
      </c>
      <c r="C274" s="37"/>
      <c r="D274" s="54">
        <v>0.0</v>
      </c>
    </row>
    <row r="275">
      <c r="B275" s="24">
        <v>271.0</v>
      </c>
      <c r="C275" s="37"/>
      <c r="D275" s="54">
        <v>0.0</v>
      </c>
    </row>
    <row r="276">
      <c r="B276" s="24">
        <v>272.0</v>
      </c>
      <c r="C276" s="37"/>
      <c r="D276" s="54">
        <v>0.0</v>
      </c>
    </row>
    <row r="277">
      <c r="B277" s="24">
        <v>273.0</v>
      </c>
      <c r="C277" s="37"/>
      <c r="D277" s="54">
        <v>0.0</v>
      </c>
    </row>
    <row r="278">
      <c r="B278" s="24">
        <v>274.0</v>
      </c>
      <c r="C278" s="37"/>
      <c r="D278" s="54">
        <v>0.0</v>
      </c>
    </row>
    <row r="279">
      <c r="B279" s="24">
        <v>275.0</v>
      </c>
      <c r="C279" s="37"/>
      <c r="D279" s="54">
        <v>0.0</v>
      </c>
    </row>
    <row r="280">
      <c r="B280" s="24">
        <v>276.0</v>
      </c>
      <c r="C280" s="37"/>
      <c r="D280" s="54">
        <v>0.0</v>
      </c>
    </row>
    <row r="281">
      <c r="B281" s="24">
        <v>277.0</v>
      </c>
      <c r="C281" s="37"/>
      <c r="D281" s="54">
        <v>0.0</v>
      </c>
    </row>
    <row r="282">
      <c r="B282" s="24">
        <v>278.0</v>
      </c>
      <c r="C282" s="37"/>
      <c r="D282" s="54">
        <v>0.0</v>
      </c>
    </row>
    <row r="283">
      <c r="B283" s="24">
        <v>279.0</v>
      </c>
      <c r="C283" s="37"/>
      <c r="D283" s="54">
        <v>0.0</v>
      </c>
    </row>
    <row r="284">
      <c r="B284" s="24">
        <v>280.0</v>
      </c>
      <c r="C284" s="37"/>
      <c r="D284" s="54">
        <v>0.0</v>
      </c>
    </row>
    <row r="285">
      <c r="B285" s="24">
        <v>281.0</v>
      </c>
      <c r="C285" s="37"/>
      <c r="D285" s="54">
        <v>0.0</v>
      </c>
    </row>
    <row r="286">
      <c r="B286" s="24">
        <v>282.0</v>
      </c>
      <c r="C286" s="37"/>
      <c r="D286" s="54">
        <v>0.0</v>
      </c>
    </row>
    <row r="287">
      <c r="B287" s="24">
        <v>283.0</v>
      </c>
      <c r="C287" s="37"/>
      <c r="D287" s="54">
        <v>0.0</v>
      </c>
    </row>
    <row r="288">
      <c r="B288" s="24">
        <v>284.0</v>
      </c>
      <c r="C288" s="37"/>
      <c r="D288" s="54">
        <v>0.0</v>
      </c>
    </row>
    <row r="289">
      <c r="B289" s="24">
        <v>285.0</v>
      </c>
      <c r="C289" s="37"/>
      <c r="D289" s="54">
        <v>0.0</v>
      </c>
    </row>
    <row r="290">
      <c r="B290" s="24">
        <v>286.0</v>
      </c>
      <c r="C290" s="37"/>
      <c r="D290" s="54">
        <v>0.0</v>
      </c>
    </row>
    <row r="291">
      <c r="B291" s="24">
        <v>287.0</v>
      </c>
      <c r="C291" s="37"/>
      <c r="D291" s="54">
        <v>0.0</v>
      </c>
    </row>
    <row r="292">
      <c r="B292" s="24">
        <v>288.0</v>
      </c>
      <c r="C292" s="37"/>
      <c r="D292" s="54">
        <v>0.0</v>
      </c>
    </row>
    <row r="293">
      <c r="B293" s="24">
        <v>289.0</v>
      </c>
      <c r="C293" s="37"/>
      <c r="D293" s="54">
        <v>0.0</v>
      </c>
    </row>
    <row r="294">
      <c r="B294" s="24">
        <v>290.0</v>
      </c>
      <c r="C294" s="37"/>
      <c r="D294" s="54">
        <v>0.0</v>
      </c>
    </row>
    <row r="295">
      <c r="B295" s="24">
        <v>291.0</v>
      </c>
      <c r="C295" s="37"/>
      <c r="D295" s="54">
        <v>0.0</v>
      </c>
    </row>
    <row r="296">
      <c r="B296" s="24">
        <v>292.0</v>
      </c>
      <c r="C296" s="37"/>
      <c r="D296" s="54">
        <v>0.0</v>
      </c>
    </row>
    <row r="297">
      <c r="B297" s="24">
        <v>293.0</v>
      </c>
      <c r="C297" s="37"/>
      <c r="D297" s="54">
        <v>0.0</v>
      </c>
    </row>
    <row r="298">
      <c r="B298" s="24">
        <v>294.0</v>
      </c>
      <c r="C298" s="37"/>
      <c r="D298" s="54">
        <v>0.0</v>
      </c>
    </row>
    <row r="299">
      <c r="B299" s="24">
        <v>295.0</v>
      </c>
      <c r="C299" s="37"/>
      <c r="D299" s="54">
        <v>0.0</v>
      </c>
    </row>
    <row r="300">
      <c r="B300" s="24">
        <v>296.0</v>
      </c>
      <c r="C300" s="37"/>
      <c r="D300" s="54">
        <v>0.0</v>
      </c>
    </row>
    <row r="301">
      <c r="B301" s="24">
        <v>297.0</v>
      </c>
      <c r="C301" s="37"/>
      <c r="D301" s="54">
        <v>0.0</v>
      </c>
    </row>
    <row r="302">
      <c r="B302" s="24">
        <v>298.0</v>
      </c>
      <c r="C302" s="37"/>
      <c r="D302" s="54">
        <v>0.0</v>
      </c>
    </row>
    <row r="303">
      <c r="B303" s="24">
        <v>299.0</v>
      </c>
      <c r="C303" s="37"/>
      <c r="D303" s="54">
        <v>0.0</v>
      </c>
    </row>
    <row r="304">
      <c r="B304" s="24">
        <v>300.0</v>
      </c>
      <c r="C304" s="37"/>
      <c r="D304" s="54">
        <v>0.0</v>
      </c>
    </row>
    <row r="305">
      <c r="B305" s="24">
        <v>301.0</v>
      </c>
      <c r="C305" s="37"/>
      <c r="D305" s="54">
        <v>0.0</v>
      </c>
    </row>
    <row r="306">
      <c r="B306" s="24">
        <v>302.0</v>
      </c>
      <c r="C306" s="37"/>
      <c r="D306" s="54">
        <v>0.0</v>
      </c>
    </row>
    <row r="307">
      <c r="B307" s="24">
        <v>303.0</v>
      </c>
      <c r="C307" s="37"/>
      <c r="D307" s="54">
        <v>0.0</v>
      </c>
    </row>
    <row r="308">
      <c r="B308" s="24">
        <v>304.0</v>
      </c>
      <c r="C308" s="37"/>
      <c r="D308" s="54">
        <v>0.0</v>
      </c>
    </row>
    <row r="309">
      <c r="B309" s="24">
        <v>305.0</v>
      </c>
      <c r="C309" s="37"/>
      <c r="D309" s="54">
        <v>0.0</v>
      </c>
    </row>
    <row r="310">
      <c r="B310" s="24">
        <v>306.0</v>
      </c>
      <c r="C310" s="37"/>
      <c r="D310" s="54">
        <v>0.0</v>
      </c>
    </row>
    <row r="311">
      <c r="B311" s="24">
        <v>307.0</v>
      </c>
      <c r="C311" s="37"/>
      <c r="D311" s="54">
        <v>0.0</v>
      </c>
    </row>
    <row r="312">
      <c r="B312" s="24">
        <v>308.0</v>
      </c>
      <c r="C312" s="37"/>
      <c r="D312" s="54">
        <v>0.0</v>
      </c>
    </row>
    <row r="313">
      <c r="B313" s="24">
        <v>309.0</v>
      </c>
      <c r="C313" s="37"/>
      <c r="D313" s="54">
        <v>0.0</v>
      </c>
    </row>
    <row r="314">
      <c r="B314" s="24">
        <v>310.0</v>
      </c>
      <c r="C314" s="37"/>
      <c r="D314" s="54">
        <v>0.0</v>
      </c>
    </row>
    <row r="315">
      <c r="B315" s="24">
        <v>311.0</v>
      </c>
      <c r="C315" s="37"/>
      <c r="D315" s="54">
        <v>0.0</v>
      </c>
    </row>
    <row r="316">
      <c r="B316" s="24">
        <v>312.0</v>
      </c>
      <c r="C316" s="37"/>
      <c r="D316" s="54">
        <v>0.0</v>
      </c>
    </row>
    <row r="317">
      <c r="B317" s="24">
        <v>313.0</v>
      </c>
      <c r="C317" s="37"/>
      <c r="D317" s="54">
        <v>0.0</v>
      </c>
    </row>
    <row r="318">
      <c r="B318" s="24">
        <v>314.0</v>
      </c>
      <c r="C318" s="37"/>
      <c r="D318" s="54">
        <v>0.0</v>
      </c>
    </row>
    <row r="319">
      <c r="B319" s="24">
        <v>315.0</v>
      </c>
      <c r="C319" s="37"/>
      <c r="D319" s="54">
        <v>0.0</v>
      </c>
    </row>
    <row r="320">
      <c r="B320" s="24">
        <v>316.0</v>
      </c>
      <c r="C320" s="37"/>
      <c r="D320" s="54">
        <v>0.0</v>
      </c>
    </row>
    <row r="321">
      <c r="B321" s="24">
        <v>317.0</v>
      </c>
      <c r="C321" s="37"/>
      <c r="D321" s="54">
        <v>0.0</v>
      </c>
    </row>
    <row r="322">
      <c r="B322" s="24">
        <v>318.0</v>
      </c>
      <c r="C322" s="37"/>
      <c r="D322" s="54">
        <v>0.0</v>
      </c>
    </row>
    <row r="323">
      <c r="B323" s="24">
        <v>319.0</v>
      </c>
      <c r="C323" s="37"/>
      <c r="D323" s="54">
        <v>0.0</v>
      </c>
    </row>
    <row r="324">
      <c r="B324" s="24">
        <v>320.0</v>
      </c>
      <c r="C324" s="37"/>
      <c r="D324" s="54">
        <v>0.0</v>
      </c>
    </row>
    <row r="325">
      <c r="B325" s="24">
        <v>321.0</v>
      </c>
      <c r="C325" s="37"/>
      <c r="D325" s="54">
        <v>0.0</v>
      </c>
    </row>
    <row r="326">
      <c r="B326" s="24">
        <v>322.0</v>
      </c>
      <c r="C326" s="37"/>
      <c r="D326" s="54">
        <v>0.0</v>
      </c>
    </row>
    <row r="327">
      <c r="B327" s="24">
        <v>323.0</v>
      </c>
      <c r="C327" s="37"/>
      <c r="D327" s="54">
        <v>0.0</v>
      </c>
    </row>
    <row r="328">
      <c r="B328" s="24">
        <v>324.0</v>
      </c>
      <c r="C328" s="37"/>
      <c r="D328" s="54">
        <v>0.0</v>
      </c>
    </row>
    <row r="329">
      <c r="B329" s="24">
        <v>325.0</v>
      </c>
      <c r="C329" s="37"/>
      <c r="D329" s="54">
        <v>0.0</v>
      </c>
    </row>
    <row r="330">
      <c r="B330" s="24">
        <v>326.0</v>
      </c>
      <c r="C330" s="37"/>
      <c r="D330" s="54">
        <v>0.0</v>
      </c>
    </row>
    <row r="331">
      <c r="B331" s="24">
        <v>327.0</v>
      </c>
      <c r="C331" s="37"/>
      <c r="D331" s="54">
        <v>0.0</v>
      </c>
    </row>
    <row r="332">
      <c r="B332" s="24">
        <v>328.0</v>
      </c>
      <c r="C332" s="37"/>
      <c r="D332" s="54">
        <v>0.0</v>
      </c>
    </row>
    <row r="333">
      <c r="B333" s="24">
        <v>329.0</v>
      </c>
      <c r="C333" s="37"/>
      <c r="D333" s="54">
        <v>0.0</v>
      </c>
    </row>
    <row r="334">
      <c r="B334" s="24">
        <v>330.0</v>
      </c>
      <c r="C334" s="37"/>
      <c r="D334" s="54">
        <v>0.0</v>
      </c>
    </row>
    <row r="335">
      <c r="B335" s="24">
        <v>331.0</v>
      </c>
      <c r="C335" s="37"/>
      <c r="D335" s="54">
        <v>0.0</v>
      </c>
    </row>
    <row r="336">
      <c r="B336" s="24">
        <v>332.0</v>
      </c>
      <c r="C336" s="37"/>
      <c r="D336" s="54">
        <v>0.0</v>
      </c>
    </row>
    <row r="337">
      <c r="B337" s="24">
        <v>333.0</v>
      </c>
      <c r="C337" s="37"/>
      <c r="D337" s="54">
        <v>0.0</v>
      </c>
    </row>
    <row r="338">
      <c r="B338" s="24">
        <v>334.0</v>
      </c>
      <c r="C338" s="37"/>
      <c r="D338" s="54">
        <v>0.0</v>
      </c>
    </row>
    <row r="339">
      <c r="B339" s="24">
        <v>335.0</v>
      </c>
      <c r="C339" s="37"/>
      <c r="D339" s="54">
        <v>0.0</v>
      </c>
    </row>
    <row r="340">
      <c r="B340" s="24">
        <v>336.0</v>
      </c>
      <c r="C340" s="37"/>
      <c r="D340" s="54">
        <v>0.0</v>
      </c>
    </row>
    <row r="341">
      <c r="B341" s="24">
        <v>337.0</v>
      </c>
      <c r="C341" s="37"/>
      <c r="D341" s="54">
        <v>0.0</v>
      </c>
    </row>
    <row r="342">
      <c r="B342" s="24">
        <v>338.0</v>
      </c>
      <c r="C342" s="37"/>
      <c r="D342" s="54">
        <v>0.0</v>
      </c>
    </row>
    <row r="343">
      <c r="B343" s="24">
        <v>339.0</v>
      </c>
      <c r="C343" s="37"/>
      <c r="D343" s="54">
        <v>0.0</v>
      </c>
    </row>
    <row r="344">
      <c r="B344" s="24">
        <v>340.0</v>
      </c>
      <c r="C344" s="37"/>
      <c r="D344" s="54">
        <v>0.0</v>
      </c>
    </row>
    <row r="345">
      <c r="B345" s="24">
        <v>341.0</v>
      </c>
      <c r="C345" s="37"/>
      <c r="D345" s="54">
        <v>0.0</v>
      </c>
    </row>
    <row r="346">
      <c r="B346" s="24">
        <v>342.0</v>
      </c>
      <c r="C346" s="37"/>
      <c r="D346" s="54">
        <v>0.0</v>
      </c>
    </row>
    <row r="347">
      <c r="B347" s="24">
        <v>343.0</v>
      </c>
      <c r="C347" s="37"/>
      <c r="D347" s="54">
        <v>0.0</v>
      </c>
    </row>
    <row r="348">
      <c r="B348" s="24">
        <v>344.0</v>
      </c>
      <c r="C348" s="37"/>
      <c r="D348" s="54">
        <v>0.0</v>
      </c>
    </row>
    <row r="349">
      <c r="B349" s="24">
        <v>345.0</v>
      </c>
      <c r="C349" s="37"/>
      <c r="D349" s="54">
        <v>0.0</v>
      </c>
    </row>
    <row r="350">
      <c r="B350" s="24">
        <v>346.0</v>
      </c>
      <c r="C350" s="37"/>
      <c r="D350" s="54">
        <v>0.0</v>
      </c>
    </row>
    <row r="351">
      <c r="B351" s="24">
        <v>347.0</v>
      </c>
      <c r="C351" s="37"/>
      <c r="D351" s="54">
        <v>0.0</v>
      </c>
    </row>
    <row r="352">
      <c r="B352" s="24">
        <v>348.0</v>
      </c>
      <c r="C352" s="37"/>
      <c r="D352" s="54">
        <v>0.0</v>
      </c>
    </row>
    <row r="353">
      <c r="B353" s="24">
        <v>349.0</v>
      </c>
      <c r="C353" s="37"/>
      <c r="D353" s="54">
        <v>0.0</v>
      </c>
    </row>
    <row r="354">
      <c r="B354" s="24">
        <v>350.0</v>
      </c>
      <c r="C354" s="37"/>
      <c r="D354" s="54">
        <v>0.0</v>
      </c>
    </row>
    <row r="355">
      <c r="B355" s="24">
        <v>351.0</v>
      </c>
      <c r="C355" s="37"/>
      <c r="D355" s="54">
        <v>0.0</v>
      </c>
    </row>
    <row r="356">
      <c r="B356" s="24">
        <v>352.0</v>
      </c>
      <c r="C356" s="37"/>
      <c r="D356" s="54">
        <v>0.0</v>
      </c>
    </row>
    <row r="357">
      <c r="B357" s="24">
        <v>353.0</v>
      </c>
      <c r="C357" s="37"/>
      <c r="D357" s="54">
        <v>0.0</v>
      </c>
    </row>
    <row r="358">
      <c r="B358" s="24">
        <v>354.0</v>
      </c>
      <c r="C358" s="37"/>
      <c r="D358" s="54">
        <v>0.0</v>
      </c>
    </row>
    <row r="359">
      <c r="B359" s="24">
        <v>355.0</v>
      </c>
      <c r="C359" s="37"/>
      <c r="D359" s="54">
        <v>0.0</v>
      </c>
    </row>
    <row r="360">
      <c r="B360" s="24">
        <v>356.0</v>
      </c>
      <c r="C360" s="37"/>
      <c r="D360" s="54">
        <v>0.0</v>
      </c>
    </row>
    <row r="361">
      <c r="B361" s="24">
        <v>357.0</v>
      </c>
      <c r="C361" s="37"/>
      <c r="D361" s="54">
        <v>0.0</v>
      </c>
    </row>
    <row r="362">
      <c r="B362" s="24">
        <v>358.0</v>
      </c>
      <c r="C362" s="37"/>
      <c r="D362" s="54">
        <v>0.0</v>
      </c>
    </row>
    <row r="363">
      <c r="B363" s="24">
        <v>359.0</v>
      </c>
      <c r="C363" s="37"/>
      <c r="D363" s="54">
        <v>0.0</v>
      </c>
    </row>
    <row r="364">
      <c r="B364" s="24">
        <v>360.0</v>
      </c>
      <c r="C364" s="37"/>
      <c r="D364" s="54">
        <v>0.0</v>
      </c>
    </row>
    <row r="365">
      <c r="B365" s="24">
        <v>361.0</v>
      </c>
      <c r="C365" s="37"/>
      <c r="D365" s="54">
        <v>0.0</v>
      </c>
    </row>
    <row r="366">
      <c r="B366" s="24">
        <v>362.0</v>
      </c>
      <c r="C366" s="37"/>
      <c r="D366" s="54">
        <v>0.0</v>
      </c>
    </row>
    <row r="367">
      <c r="B367" s="24">
        <v>363.0</v>
      </c>
      <c r="C367" s="37"/>
      <c r="D367" s="54">
        <v>0.0</v>
      </c>
    </row>
    <row r="368">
      <c r="B368" s="24">
        <v>364.0</v>
      </c>
      <c r="C368" s="37"/>
      <c r="D368" s="54">
        <v>0.0</v>
      </c>
    </row>
    <row r="369">
      <c r="B369" s="24">
        <v>365.0</v>
      </c>
      <c r="C369" s="37"/>
      <c r="D369" s="54">
        <v>0.0</v>
      </c>
    </row>
    <row r="370">
      <c r="B370" s="24">
        <v>366.0</v>
      </c>
      <c r="C370" s="37"/>
      <c r="D370" s="54">
        <v>0.0</v>
      </c>
    </row>
    <row r="371">
      <c r="B371" s="24">
        <v>367.0</v>
      </c>
      <c r="C371" s="37"/>
      <c r="D371" s="54">
        <v>0.0</v>
      </c>
    </row>
    <row r="372">
      <c r="B372" s="24">
        <v>368.0</v>
      </c>
      <c r="C372" s="37"/>
      <c r="D372" s="54">
        <v>0.0</v>
      </c>
    </row>
    <row r="373">
      <c r="B373" s="24">
        <v>369.0</v>
      </c>
      <c r="C373" s="37"/>
      <c r="D373" s="54">
        <v>0.0</v>
      </c>
    </row>
    <row r="374">
      <c r="B374" s="24">
        <v>370.0</v>
      </c>
      <c r="C374" s="37"/>
      <c r="D374" s="54">
        <v>0.0</v>
      </c>
    </row>
    <row r="375">
      <c r="B375" s="24">
        <v>371.0</v>
      </c>
      <c r="C375" s="37"/>
      <c r="D375" s="54">
        <v>0.0</v>
      </c>
    </row>
    <row r="376">
      <c r="B376" s="24">
        <v>372.0</v>
      </c>
      <c r="C376" s="37"/>
      <c r="D376" s="54">
        <v>0.0</v>
      </c>
    </row>
    <row r="377">
      <c r="B377" s="24">
        <v>373.0</v>
      </c>
      <c r="C377" s="37"/>
      <c r="D377" s="54">
        <v>0.0</v>
      </c>
    </row>
    <row r="378">
      <c r="B378" s="24">
        <v>374.0</v>
      </c>
      <c r="C378" s="37"/>
      <c r="D378" s="54">
        <v>0.0</v>
      </c>
    </row>
    <row r="379">
      <c r="B379" s="24">
        <v>375.0</v>
      </c>
      <c r="C379" s="37"/>
      <c r="D379" s="54">
        <v>0.0</v>
      </c>
    </row>
    <row r="380">
      <c r="B380" s="24">
        <v>376.0</v>
      </c>
      <c r="C380" s="37"/>
      <c r="D380" s="54">
        <v>0.0</v>
      </c>
    </row>
    <row r="381">
      <c r="B381" s="24">
        <v>377.0</v>
      </c>
      <c r="C381" s="37"/>
      <c r="D381" s="54">
        <v>0.0</v>
      </c>
    </row>
    <row r="382">
      <c r="B382" s="24">
        <v>378.0</v>
      </c>
      <c r="C382" s="37"/>
      <c r="D382" s="54">
        <v>0.0</v>
      </c>
    </row>
    <row r="383">
      <c r="B383" s="24">
        <v>379.0</v>
      </c>
      <c r="C383" s="37"/>
      <c r="D383" s="54">
        <v>0.0</v>
      </c>
    </row>
    <row r="384">
      <c r="B384" s="24">
        <v>380.0</v>
      </c>
      <c r="C384" s="37"/>
      <c r="D384" s="54">
        <v>0.0</v>
      </c>
    </row>
    <row r="385">
      <c r="B385" s="24">
        <v>381.0</v>
      </c>
      <c r="C385" s="37"/>
      <c r="D385" s="54">
        <v>0.0</v>
      </c>
    </row>
    <row r="386">
      <c r="B386" s="24">
        <v>382.0</v>
      </c>
      <c r="C386" s="37"/>
      <c r="D386" s="54">
        <v>0.0</v>
      </c>
    </row>
    <row r="387">
      <c r="B387" s="24">
        <v>383.0</v>
      </c>
      <c r="C387" s="37"/>
      <c r="D387" s="54">
        <v>0.0</v>
      </c>
    </row>
    <row r="388">
      <c r="B388" s="24">
        <v>384.0</v>
      </c>
      <c r="C388" s="37"/>
      <c r="D388" s="54">
        <v>0.0</v>
      </c>
    </row>
    <row r="389">
      <c r="B389" s="24">
        <v>385.0</v>
      </c>
      <c r="C389" s="37"/>
      <c r="D389" s="54">
        <v>0.0</v>
      </c>
    </row>
    <row r="390">
      <c r="B390" s="24">
        <v>386.0</v>
      </c>
      <c r="C390" s="37"/>
      <c r="D390" s="54">
        <v>0.0</v>
      </c>
    </row>
    <row r="391">
      <c r="B391" s="24">
        <v>387.0</v>
      </c>
      <c r="C391" s="37"/>
      <c r="D391" s="54">
        <v>0.0</v>
      </c>
    </row>
    <row r="392">
      <c r="B392" s="24">
        <v>388.0</v>
      </c>
      <c r="C392" s="37"/>
      <c r="D392" s="54">
        <v>0.0</v>
      </c>
    </row>
    <row r="393">
      <c r="B393" s="24">
        <v>389.0</v>
      </c>
      <c r="C393" s="37"/>
      <c r="D393" s="54">
        <v>0.0</v>
      </c>
    </row>
    <row r="394">
      <c r="B394" s="24">
        <v>390.0</v>
      </c>
      <c r="C394" s="37"/>
      <c r="D394" s="54">
        <v>0.0</v>
      </c>
    </row>
    <row r="395">
      <c r="B395" s="24">
        <v>391.0</v>
      </c>
      <c r="C395" s="37"/>
      <c r="D395" s="54">
        <v>0.0</v>
      </c>
    </row>
    <row r="396">
      <c r="B396" s="24">
        <v>392.0</v>
      </c>
      <c r="C396" s="37"/>
      <c r="D396" s="54">
        <v>0.0</v>
      </c>
    </row>
    <row r="397">
      <c r="B397" s="24">
        <v>393.0</v>
      </c>
      <c r="C397" s="37"/>
      <c r="D397" s="54">
        <v>0.0</v>
      </c>
    </row>
    <row r="398">
      <c r="B398" s="24">
        <v>394.0</v>
      </c>
      <c r="C398" s="37"/>
      <c r="D398" s="54">
        <v>0.0</v>
      </c>
    </row>
    <row r="399">
      <c r="B399" s="24">
        <v>395.0</v>
      </c>
      <c r="C399" s="37"/>
      <c r="D399" s="54">
        <v>0.0</v>
      </c>
    </row>
    <row r="400">
      <c r="B400" s="24">
        <v>396.0</v>
      </c>
      <c r="C400" s="37"/>
      <c r="D400" s="54">
        <v>0.0</v>
      </c>
    </row>
    <row r="401">
      <c r="B401" s="24">
        <v>397.0</v>
      </c>
      <c r="C401" s="37"/>
      <c r="D401" s="54">
        <v>0.0</v>
      </c>
    </row>
    <row r="402">
      <c r="B402" s="24">
        <v>398.0</v>
      </c>
      <c r="C402" s="37"/>
      <c r="D402" s="54">
        <v>0.0</v>
      </c>
    </row>
    <row r="403">
      <c r="B403" s="24">
        <v>399.0</v>
      </c>
      <c r="C403" s="37"/>
      <c r="D403" s="54">
        <v>0.0</v>
      </c>
    </row>
    <row r="404">
      <c r="B404" s="24">
        <v>400.0</v>
      </c>
      <c r="C404" s="37"/>
      <c r="D404" s="54">
        <v>0.0</v>
      </c>
    </row>
    <row r="405">
      <c r="B405" s="24">
        <v>401.0</v>
      </c>
      <c r="C405" s="37"/>
      <c r="D405" s="54">
        <v>0.0</v>
      </c>
    </row>
    <row r="406">
      <c r="B406" s="24">
        <v>402.0</v>
      </c>
      <c r="C406" s="37"/>
      <c r="D406" s="54">
        <v>0.0</v>
      </c>
    </row>
    <row r="407">
      <c r="B407" s="24">
        <v>403.0</v>
      </c>
      <c r="C407" s="37"/>
      <c r="D407" s="54">
        <v>0.0</v>
      </c>
    </row>
    <row r="408">
      <c r="B408" s="24">
        <v>404.0</v>
      </c>
      <c r="C408" s="37"/>
      <c r="D408" s="54">
        <v>0.0</v>
      </c>
    </row>
    <row r="409">
      <c r="B409" s="24">
        <v>405.0</v>
      </c>
      <c r="C409" s="37"/>
      <c r="D409" s="54">
        <v>0.0</v>
      </c>
    </row>
    <row r="410">
      <c r="B410" s="24">
        <v>406.0</v>
      </c>
      <c r="C410" s="37"/>
      <c r="D410" s="54">
        <v>0.0</v>
      </c>
    </row>
    <row r="411">
      <c r="B411" s="24">
        <v>407.0</v>
      </c>
      <c r="C411" s="37"/>
      <c r="D411" s="54">
        <v>0.0</v>
      </c>
    </row>
    <row r="412">
      <c r="B412" s="24">
        <v>408.0</v>
      </c>
      <c r="C412" s="37"/>
      <c r="D412" s="54">
        <v>0.0</v>
      </c>
    </row>
    <row r="413">
      <c r="B413" s="24">
        <v>409.0</v>
      </c>
      <c r="C413" s="37"/>
      <c r="D413" s="54">
        <v>0.0</v>
      </c>
    </row>
    <row r="414">
      <c r="B414" s="24">
        <v>410.0</v>
      </c>
      <c r="C414" s="37"/>
      <c r="D414" s="54">
        <v>0.0</v>
      </c>
    </row>
    <row r="415">
      <c r="B415" s="24">
        <v>411.0</v>
      </c>
      <c r="C415" s="37"/>
      <c r="D415" s="54">
        <v>0.0</v>
      </c>
    </row>
    <row r="416">
      <c r="B416" s="24">
        <v>412.0</v>
      </c>
      <c r="C416" s="37"/>
      <c r="D416" s="54">
        <v>0.0</v>
      </c>
    </row>
    <row r="417">
      <c r="B417" s="24">
        <v>413.0</v>
      </c>
      <c r="C417" s="37"/>
      <c r="D417" s="54">
        <v>0.0</v>
      </c>
    </row>
    <row r="418">
      <c r="B418" s="24">
        <v>414.0</v>
      </c>
      <c r="C418" s="37"/>
      <c r="D418" s="54">
        <v>0.0</v>
      </c>
    </row>
    <row r="419">
      <c r="B419" s="24">
        <v>415.0</v>
      </c>
      <c r="C419" s="37"/>
      <c r="D419" s="54">
        <v>0.0</v>
      </c>
    </row>
    <row r="420">
      <c r="B420" s="24">
        <v>416.0</v>
      </c>
      <c r="C420" s="37"/>
      <c r="D420" s="54">
        <v>0.0</v>
      </c>
    </row>
    <row r="421">
      <c r="B421" s="24">
        <v>417.0</v>
      </c>
      <c r="C421" s="37"/>
      <c r="D421" s="54">
        <v>0.0</v>
      </c>
    </row>
    <row r="422">
      <c r="B422" s="24">
        <v>418.0</v>
      </c>
      <c r="C422" s="37"/>
      <c r="D422" s="54">
        <v>0.0</v>
      </c>
    </row>
    <row r="423">
      <c r="B423" s="24">
        <v>419.0</v>
      </c>
      <c r="C423" s="37"/>
      <c r="D423" s="54">
        <v>0.0</v>
      </c>
    </row>
    <row r="424">
      <c r="B424" s="24">
        <v>420.0</v>
      </c>
      <c r="C424" s="37"/>
      <c r="D424" s="54">
        <v>0.0</v>
      </c>
    </row>
    <row r="425">
      <c r="B425" s="24">
        <v>421.0</v>
      </c>
      <c r="C425" s="37"/>
      <c r="D425" s="54">
        <v>0.0</v>
      </c>
    </row>
    <row r="426">
      <c r="B426" s="24">
        <v>422.0</v>
      </c>
      <c r="C426" s="37"/>
      <c r="D426" s="54">
        <v>0.0</v>
      </c>
    </row>
    <row r="427">
      <c r="B427" s="24">
        <v>423.0</v>
      </c>
      <c r="C427" s="37"/>
      <c r="D427" s="54">
        <v>0.0</v>
      </c>
    </row>
    <row r="428">
      <c r="B428" s="24">
        <v>424.0</v>
      </c>
      <c r="C428" s="37"/>
      <c r="D428" s="54">
        <v>0.0</v>
      </c>
    </row>
    <row r="429">
      <c r="B429" s="24">
        <v>425.0</v>
      </c>
      <c r="C429" s="37"/>
      <c r="D429" s="54">
        <v>0.0</v>
      </c>
    </row>
    <row r="430">
      <c r="B430" s="24">
        <v>426.0</v>
      </c>
      <c r="C430" s="37"/>
      <c r="D430" s="54">
        <v>0.0</v>
      </c>
    </row>
    <row r="431">
      <c r="B431" s="24">
        <v>427.0</v>
      </c>
      <c r="C431" s="37"/>
      <c r="D431" s="54">
        <v>0.0</v>
      </c>
    </row>
    <row r="432">
      <c r="B432" s="24">
        <v>428.0</v>
      </c>
      <c r="C432" s="37"/>
      <c r="D432" s="54">
        <v>0.0</v>
      </c>
    </row>
    <row r="433">
      <c r="B433" s="24">
        <v>429.0</v>
      </c>
      <c r="C433" s="37"/>
      <c r="D433" s="54">
        <v>0.0</v>
      </c>
    </row>
    <row r="434">
      <c r="B434" s="24">
        <v>430.0</v>
      </c>
      <c r="C434" s="37"/>
      <c r="D434" s="54">
        <v>0.0</v>
      </c>
    </row>
    <row r="435">
      <c r="B435" s="24">
        <v>431.0</v>
      </c>
      <c r="C435" s="37"/>
      <c r="D435" s="54">
        <v>0.0</v>
      </c>
    </row>
    <row r="436">
      <c r="B436" s="24">
        <v>432.0</v>
      </c>
      <c r="C436" s="37"/>
      <c r="D436" s="54">
        <v>0.0</v>
      </c>
    </row>
    <row r="437">
      <c r="B437" s="24">
        <v>433.0</v>
      </c>
      <c r="C437" s="37"/>
      <c r="D437" s="54">
        <v>0.0</v>
      </c>
    </row>
    <row r="438">
      <c r="B438" s="24">
        <v>434.0</v>
      </c>
      <c r="C438" s="37"/>
      <c r="D438" s="54">
        <v>0.0</v>
      </c>
    </row>
    <row r="439">
      <c r="B439" s="24">
        <v>435.0</v>
      </c>
      <c r="C439" s="37"/>
      <c r="D439" s="54">
        <v>0.0</v>
      </c>
    </row>
    <row r="440">
      <c r="B440" s="24">
        <v>436.0</v>
      </c>
      <c r="C440" s="37"/>
      <c r="D440" s="54">
        <v>0.0</v>
      </c>
    </row>
    <row r="441">
      <c r="B441" s="24">
        <v>437.0</v>
      </c>
      <c r="C441" s="37"/>
      <c r="D441" s="54">
        <v>0.0</v>
      </c>
    </row>
    <row r="442">
      <c r="B442" s="24">
        <v>438.0</v>
      </c>
      <c r="C442" s="37"/>
      <c r="D442" s="54">
        <v>0.0</v>
      </c>
    </row>
    <row r="443">
      <c r="B443" s="24">
        <v>439.0</v>
      </c>
      <c r="C443" s="37"/>
      <c r="D443" s="54">
        <v>0.0</v>
      </c>
    </row>
    <row r="444">
      <c r="B444" s="24">
        <v>440.0</v>
      </c>
      <c r="C444" s="37"/>
      <c r="D444" s="54">
        <v>0.0</v>
      </c>
    </row>
    <row r="445">
      <c r="B445" s="24">
        <v>441.0</v>
      </c>
      <c r="C445" s="37"/>
      <c r="D445" s="54">
        <v>0.0</v>
      </c>
    </row>
    <row r="446">
      <c r="B446" s="24">
        <v>442.0</v>
      </c>
      <c r="C446" s="37"/>
      <c r="D446" s="54">
        <v>0.0</v>
      </c>
    </row>
    <row r="447">
      <c r="B447" s="24">
        <v>443.0</v>
      </c>
      <c r="C447" s="37"/>
      <c r="D447" s="54">
        <v>0.0</v>
      </c>
    </row>
    <row r="448">
      <c r="B448" s="24">
        <v>444.0</v>
      </c>
      <c r="C448" s="37"/>
      <c r="D448" s="54">
        <v>0.0</v>
      </c>
    </row>
    <row r="449">
      <c r="B449" s="24">
        <v>445.0</v>
      </c>
      <c r="C449" s="37"/>
      <c r="D449" s="54">
        <v>0.0</v>
      </c>
    </row>
    <row r="450">
      <c r="B450" s="24">
        <v>446.0</v>
      </c>
      <c r="C450" s="37"/>
      <c r="D450" s="54">
        <v>0.0</v>
      </c>
    </row>
    <row r="451">
      <c r="B451" s="24">
        <v>447.0</v>
      </c>
      <c r="C451" s="37"/>
      <c r="D451" s="54">
        <v>0.0</v>
      </c>
    </row>
    <row r="452">
      <c r="B452" s="24">
        <v>448.0</v>
      </c>
      <c r="C452" s="37"/>
      <c r="D452" s="54">
        <v>0.0</v>
      </c>
    </row>
    <row r="453">
      <c r="B453" s="24">
        <v>449.0</v>
      </c>
      <c r="C453" s="37"/>
      <c r="D453" s="54">
        <v>0.0</v>
      </c>
    </row>
    <row r="454">
      <c r="B454" s="24">
        <v>450.0</v>
      </c>
      <c r="C454" s="37"/>
      <c r="D454" s="54">
        <v>0.0</v>
      </c>
    </row>
    <row r="455">
      <c r="B455" s="24">
        <v>451.0</v>
      </c>
      <c r="C455" s="37"/>
      <c r="D455" s="54">
        <v>0.0</v>
      </c>
    </row>
    <row r="456">
      <c r="B456" s="24">
        <v>452.0</v>
      </c>
      <c r="C456" s="37"/>
      <c r="D456" s="54">
        <v>0.0</v>
      </c>
    </row>
    <row r="457">
      <c r="B457" s="24">
        <v>453.0</v>
      </c>
      <c r="C457" s="37"/>
      <c r="D457" s="54">
        <v>0.0</v>
      </c>
    </row>
    <row r="458">
      <c r="B458" s="24">
        <v>454.0</v>
      </c>
      <c r="C458" s="37"/>
      <c r="D458" s="54">
        <v>0.0</v>
      </c>
    </row>
    <row r="459">
      <c r="B459" s="24">
        <v>455.0</v>
      </c>
      <c r="C459" s="37"/>
      <c r="D459" s="54">
        <v>0.0</v>
      </c>
    </row>
    <row r="460">
      <c r="B460" s="24">
        <v>456.0</v>
      </c>
      <c r="C460" s="37"/>
      <c r="D460" s="54">
        <v>0.0</v>
      </c>
    </row>
    <row r="461">
      <c r="B461" s="24">
        <v>457.0</v>
      </c>
      <c r="C461" s="37"/>
      <c r="D461" s="54">
        <v>0.0</v>
      </c>
    </row>
    <row r="462">
      <c r="B462" s="24">
        <v>458.0</v>
      </c>
      <c r="C462" s="37"/>
      <c r="D462" s="54">
        <v>0.0</v>
      </c>
    </row>
    <row r="463">
      <c r="B463" s="24">
        <v>459.0</v>
      </c>
      <c r="C463" s="37"/>
      <c r="D463" s="54">
        <v>0.0</v>
      </c>
    </row>
    <row r="464">
      <c r="B464" s="24">
        <v>460.0</v>
      </c>
      <c r="C464" s="37"/>
      <c r="D464" s="54">
        <v>0.0</v>
      </c>
    </row>
    <row r="465">
      <c r="B465" s="24">
        <v>461.0</v>
      </c>
      <c r="C465" s="37"/>
      <c r="D465" s="54">
        <v>0.0</v>
      </c>
    </row>
    <row r="466">
      <c r="B466" s="24">
        <v>462.0</v>
      </c>
      <c r="C466" s="37"/>
      <c r="D466" s="54">
        <v>0.0</v>
      </c>
    </row>
    <row r="467">
      <c r="B467" s="24">
        <v>463.0</v>
      </c>
      <c r="C467" s="37"/>
      <c r="D467" s="54">
        <v>0.0</v>
      </c>
    </row>
    <row r="468">
      <c r="B468" s="24">
        <v>464.0</v>
      </c>
      <c r="C468" s="37"/>
      <c r="D468" s="54">
        <v>0.0</v>
      </c>
    </row>
    <row r="469">
      <c r="B469" s="24">
        <v>465.0</v>
      </c>
      <c r="C469" s="37"/>
      <c r="D469" s="54">
        <v>0.0</v>
      </c>
    </row>
    <row r="470">
      <c r="B470" s="24">
        <v>466.0</v>
      </c>
      <c r="C470" s="37"/>
      <c r="D470" s="54">
        <v>0.0</v>
      </c>
    </row>
    <row r="471">
      <c r="B471" s="24">
        <v>467.0</v>
      </c>
      <c r="C471" s="37"/>
      <c r="D471" s="54">
        <v>0.0</v>
      </c>
    </row>
    <row r="472">
      <c r="B472" s="24">
        <v>468.0</v>
      </c>
      <c r="C472" s="37"/>
      <c r="D472" s="54">
        <v>0.0</v>
      </c>
    </row>
    <row r="473">
      <c r="B473" s="24">
        <v>469.0</v>
      </c>
      <c r="C473" s="37"/>
      <c r="D473" s="54">
        <v>0.0</v>
      </c>
    </row>
    <row r="474">
      <c r="B474" s="24">
        <v>470.0</v>
      </c>
      <c r="C474" s="37"/>
      <c r="D474" s="54">
        <v>0.0</v>
      </c>
    </row>
    <row r="475">
      <c r="B475" s="24">
        <v>471.0</v>
      </c>
      <c r="C475" s="37"/>
      <c r="D475" s="54">
        <v>0.0</v>
      </c>
    </row>
    <row r="476">
      <c r="B476" s="24">
        <v>472.0</v>
      </c>
      <c r="C476" s="37"/>
      <c r="D476" s="54">
        <v>0.0</v>
      </c>
    </row>
    <row r="477">
      <c r="B477" s="24">
        <v>473.0</v>
      </c>
      <c r="C477" s="37"/>
      <c r="D477" s="54">
        <v>0.0</v>
      </c>
    </row>
    <row r="478">
      <c r="B478" s="24">
        <v>474.0</v>
      </c>
      <c r="C478" s="37"/>
      <c r="D478" s="54">
        <v>0.0</v>
      </c>
    </row>
    <row r="479">
      <c r="B479" s="24">
        <v>475.0</v>
      </c>
      <c r="C479" s="37"/>
      <c r="D479" s="54">
        <v>0.0</v>
      </c>
    </row>
    <row r="480">
      <c r="B480" s="24">
        <v>476.0</v>
      </c>
      <c r="C480" s="37"/>
      <c r="D480" s="54">
        <v>0.0</v>
      </c>
    </row>
    <row r="481">
      <c r="B481" s="24">
        <v>477.0</v>
      </c>
      <c r="C481" s="37"/>
      <c r="D481" s="54">
        <v>0.0</v>
      </c>
    </row>
    <row r="482">
      <c r="B482" s="24">
        <v>478.0</v>
      </c>
      <c r="C482" s="37"/>
      <c r="D482" s="54">
        <v>0.0</v>
      </c>
    </row>
    <row r="483">
      <c r="B483" s="24">
        <v>479.0</v>
      </c>
      <c r="C483" s="37"/>
      <c r="D483" s="54">
        <v>0.0</v>
      </c>
    </row>
    <row r="484">
      <c r="B484" s="24">
        <v>480.0</v>
      </c>
      <c r="C484" s="37"/>
      <c r="D484" s="54">
        <v>0.0</v>
      </c>
    </row>
    <row r="485">
      <c r="B485" s="24">
        <v>481.0</v>
      </c>
      <c r="C485" s="37"/>
      <c r="D485" s="54">
        <v>0.0</v>
      </c>
    </row>
    <row r="486">
      <c r="B486" s="24">
        <v>482.0</v>
      </c>
      <c r="C486" s="37"/>
      <c r="D486" s="54">
        <v>0.0</v>
      </c>
    </row>
    <row r="487">
      <c r="B487" s="24">
        <v>483.0</v>
      </c>
      <c r="C487" s="37"/>
      <c r="D487" s="54">
        <v>0.0</v>
      </c>
    </row>
    <row r="488">
      <c r="B488" s="24">
        <v>484.0</v>
      </c>
      <c r="C488" s="37"/>
      <c r="D488" s="54">
        <v>0.0</v>
      </c>
    </row>
    <row r="489">
      <c r="B489" s="24">
        <v>485.0</v>
      </c>
      <c r="C489" s="37"/>
      <c r="D489" s="54">
        <v>0.0</v>
      </c>
    </row>
    <row r="490">
      <c r="B490" s="24">
        <v>486.0</v>
      </c>
      <c r="C490" s="37"/>
      <c r="D490" s="54">
        <v>0.0</v>
      </c>
    </row>
    <row r="491">
      <c r="B491" s="24">
        <v>487.0</v>
      </c>
      <c r="C491" s="37"/>
      <c r="D491" s="54">
        <v>0.0</v>
      </c>
    </row>
    <row r="492">
      <c r="B492" s="24">
        <v>488.0</v>
      </c>
      <c r="C492" s="37"/>
      <c r="D492" s="54">
        <v>0.0</v>
      </c>
    </row>
    <row r="493">
      <c r="B493" s="24">
        <v>489.0</v>
      </c>
      <c r="C493" s="37"/>
      <c r="D493" s="54">
        <v>0.0</v>
      </c>
    </row>
    <row r="494">
      <c r="B494" s="24">
        <v>490.0</v>
      </c>
      <c r="C494" s="37"/>
      <c r="D494" s="54">
        <v>0.0</v>
      </c>
    </row>
    <row r="495">
      <c r="B495" s="24">
        <v>491.0</v>
      </c>
      <c r="C495" s="37"/>
      <c r="D495" s="54">
        <v>0.0</v>
      </c>
    </row>
    <row r="496">
      <c r="B496" s="24">
        <v>492.0</v>
      </c>
      <c r="C496" s="37"/>
      <c r="D496" s="54">
        <v>0.0</v>
      </c>
    </row>
    <row r="497">
      <c r="B497" s="24">
        <v>493.0</v>
      </c>
      <c r="C497" s="37"/>
      <c r="D497" s="54">
        <v>0.0</v>
      </c>
    </row>
    <row r="498">
      <c r="B498" s="24">
        <v>494.0</v>
      </c>
      <c r="C498" s="37"/>
      <c r="D498" s="54">
        <v>0.0</v>
      </c>
    </row>
    <row r="499">
      <c r="B499" s="24">
        <v>495.0</v>
      </c>
      <c r="C499" s="37"/>
      <c r="D499" s="54">
        <v>0.0</v>
      </c>
    </row>
    <row r="500">
      <c r="B500" s="24">
        <v>496.0</v>
      </c>
      <c r="C500" s="37"/>
      <c r="D500" s="54">
        <v>0.0</v>
      </c>
    </row>
    <row r="501">
      <c r="B501" s="24">
        <v>497.0</v>
      </c>
      <c r="C501" s="37"/>
      <c r="D501" s="54">
        <v>0.0</v>
      </c>
    </row>
    <row r="502">
      <c r="B502" s="24">
        <v>498.0</v>
      </c>
      <c r="C502" s="37"/>
      <c r="D502" s="54">
        <v>0.0</v>
      </c>
    </row>
    <row r="503">
      <c r="B503" s="24">
        <v>499.0</v>
      </c>
      <c r="C503" s="37"/>
      <c r="D503" s="54">
        <v>0.0</v>
      </c>
    </row>
    <row r="504">
      <c r="B504" s="24">
        <v>500.0</v>
      </c>
      <c r="C504" s="37"/>
      <c r="D504" s="54">
        <v>0.0</v>
      </c>
    </row>
    <row r="505">
      <c r="B505" s="24">
        <v>501.0</v>
      </c>
      <c r="C505" s="37"/>
      <c r="D505" s="54">
        <v>0.0</v>
      </c>
    </row>
    <row r="506">
      <c r="B506" s="24">
        <v>502.0</v>
      </c>
      <c r="C506" s="37"/>
      <c r="D506" s="54">
        <v>0.0</v>
      </c>
    </row>
    <row r="507">
      <c r="B507" s="24">
        <v>503.0</v>
      </c>
      <c r="C507" s="37"/>
      <c r="D507" s="54">
        <v>0.0</v>
      </c>
    </row>
    <row r="508">
      <c r="B508" s="24">
        <v>504.0</v>
      </c>
      <c r="C508" s="37"/>
      <c r="D508" s="54">
        <v>0.0</v>
      </c>
    </row>
    <row r="509">
      <c r="B509" s="24">
        <v>505.0</v>
      </c>
      <c r="C509" s="37"/>
      <c r="D509" s="54">
        <v>0.0</v>
      </c>
    </row>
    <row r="510">
      <c r="B510" s="24">
        <v>506.0</v>
      </c>
      <c r="C510" s="37"/>
      <c r="D510" s="54">
        <v>0.0</v>
      </c>
    </row>
    <row r="511">
      <c r="B511" s="24">
        <v>507.0</v>
      </c>
      <c r="C511" s="37"/>
      <c r="D511" s="54">
        <v>0.0</v>
      </c>
    </row>
    <row r="512">
      <c r="B512" s="24">
        <v>508.0</v>
      </c>
      <c r="C512" s="37"/>
      <c r="D512" s="54">
        <v>0.0</v>
      </c>
    </row>
    <row r="513">
      <c r="B513" s="24">
        <v>509.0</v>
      </c>
      <c r="C513" s="37"/>
      <c r="D513" s="54">
        <v>0.0</v>
      </c>
    </row>
    <row r="514">
      <c r="B514" s="24">
        <v>510.0</v>
      </c>
      <c r="C514" s="37"/>
      <c r="D514" s="54">
        <v>0.0</v>
      </c>
    </row>
    <row r="515">
      <c r="B515" s="24">
        <v>511.0</v>
      </c>
      <c r="C515" s="37"/>
      <c r="D515" s="54">
        <v>0.0</v>
      </c>
    </row>
    <row r="516">
      <c r="B516" s="24">
        <v>512.0</v>
      </c>
      <c r="C516" s="37"/>
      <c r="D516" s="54">
        <v>0.0</v>
      </c>
    </row>
    <row r="517">
      <c r="B517" s="24">
        <v>513.0</v>
      </c>
      <c r="C517" s="37"/>
      <c r="D517" s="54">
        <v>0.0</v>
      </c>
    </row>
    <row r="518">
      <c r="B518" s="24">
        <v>514.0</v>
      </c>
      <c r="C518" s="37"/>
      <c r="D518" s="54">
        <v>0.0</v>
      </c>
    </row>
    <row r="519">
      <c r="B519" s="24">
        <v>515.0</v>
      </c>
      <c r="C519" s="37"/>
      <c r="D519" s="54">
        <v>0.0</v>
      </c>
    </row>
    <row r="520">
      <c r="B520" s="24">
        <v>516.0</v>
      </c>
      <c r="C520" s="37"/>
      <c r="D520" s="54">
        <v>0.0</v>
      </c>
    </row>
    <row r="521">
      <c r="B521" s="24">
        <v>517.0</v>
      </c>
      <c r="C521" s="37"/>
      <c r="D521" s="54">
        <v>0.0</v>
      </c>
    </row>
    <row r="522">
      <c r="B522" s="24">
        <v>518.0</v>
      </c>
      <c r="C522" s="37"/>
      <c r="D522" s="54">
        <v>0.0</v>
      </c>
    </row>
    <row r="523">
      <c r="B523" s="24">
        <v>519.0</v>
      </c>
      <c r="C523" s="37"/>
      <c r="D523" s="54">
        <v>0.0</v>
      </c>
    </row>
    <row r="524">
      <c r="B524" s="24">
        <v>520.0</v>
      </c>
      <c r="C524" s="37"/>
      <c r="D524" s="54">
        <v>0.0</v>
      </c>
    </row>
    <row r="525">
      <c r="B525" s="24">
        <v>521.0</v>
      </c>
      <c r="C525" s="37"/>
      <c r="D525" s="54">
        <v>0.0</v>
      </c>
    </row>
    <row r="526">
      <c r="B526" s="24">
        <v>522.0</v>
      </c>
      <c r="C526" s="37"/>
      <c r="D526" s="54">
        <v>0.0</v>
      </c>
    </row>
    <row r="527">
      <c r="B527" s="24">
        <v>523.0</v>
      </c>
      <c r="C527" s="37"/>
      <c r="D527" s="54">
        <v>0.0</v>
      </c>
    </row>
    <row r="528">
      <c r="B528" s="24">
        <v>524.0</v>
      </c>
      <c r="C528" s="37"/>
      <c r="D528" s="54">
        <v>0.0</v>
      </c>
    </row>
    <row r="529">
      <c r="B529" s="24">
        <v>525.0</v>
      </c>
      <c r="C529" s="37"/>
      <c r="D529" s="54">
        <v>0.0</v>
      </c>
    </row>
    <row r="530">
      <c r="B530" s="24">
        <v>526.0</v>
      </c>
      <c r="C530" s="37"/>
      <c r="D530" s="54">
        <v>0.0</v>
      </c>
    </row>
    <row r="531">
      <c r="B531" s="24">
        <v>527.0</v>
      </c>
      <c r="C531" s="37"/>
      <c r="D531" s="54">
        <v>0.0</v>
      </c>
    </row>
    <row r="532">
      <c r="B532" s="24">
        <v>528.0</v>
      </c>
      <c r="C532" s="37"/>
      <c r="D532" s="54">
        <v>0.0</v>
      </c>
    </row>
    <row r="533">
      <c r="B533" s="24">
        <v>529.0</v>
      </c>
      <c r="C533" s="37"/>
      <c r="D533" s="54">
        <v>0.0</v>
      </c>
    </row>
    <row r="534">
      <c r="B534" s="24">
        <v>530.0</v>
      </c>
      <c r="C534" s="37"/>
      <c r="D534" s="54">
        <v>0.0</v>
      </c>
    </row>
    <row r="535">
      <c r="B535" s="24">
        <v>531.0</v>
      </c>
      <c r="C535" s="37"/>
      <c r="D535" s="54">
        <v>0.0</v>
      </c>
    </row>
    <row r="536">
      <c r="B536" s="24">
        <v>532.0</v>
      </c>
      <c r="C536" s="37"/>
      <c r="D536" s="54">
        <v>0.0</v>
      </c>
    </row>
    <row r="537">
      <c r="B537" s="24">
        <v>533.0</v>
      </c>
      <c r="C537" s="37"/>
      <c r="D537" s="54">
        <v>0.0</v>
      </c>
    </row>
    <row r="538">
      <c r="B538" s="24">
        <v>534.0</v>
      </c>
      <c r="C538" s="37"/>
      <c r="D538" s="54">
        <v>0.0</v>
      </c>
    </row>
    <row r="539">
      <c r="B539" s="24">
        <v>535.0</v>
      </c>
      <c r="C539" s="37"/>
      <c r="D539" s="54">
        <v>0.0</v>
      </c>
    </row>
    <row r="540">
      <c r="B540" s="24">
        <v>536.0</v>
      </c>
      <c r="C540" s="37"/>
      <c r="D540" s="54">
        <v>0.0</v>
      </c>
    </row>
    <row r="541">
      <c r="B541" s="24">
        <v>537.0</v>
      </c>
      <c r="C541" s="37"/>
      <c r="D541" s="54">
        <v>0.0</v>
      </c>
    </row>
    <row r="542">
      <c r="B542" s="24">
        <v>538.0</v>
      </c>
      <c r="C542" s="37"/>
      <c r="D542" s="54">
        <v>0.0</v>
      </c>
    </row>
    <row r="543">
      <c r="B543" s="24">
        <v>539.0</v>
      </c>
      <c r="C543" s="37"/>
      <c r="D543" s="54">
        <v>0.0</v>
      </c>
    </row>
    <row r="544">
      <c r="B544" s="24">
        <v>540.0</v>
      </c>
      <c r="C544" s="37"/>
      <c r="D544" s="54">
        <v>0.0</v>
      </c>
    </row>
    <row r="545">
      <c r="B545" s="24">
        <v>541.0</v>
      </c>
      <c r="C545" s="37"/>
      <c r="D545" s="54">
        <v>0.0</v>
      </c>
    </row>
    <row r="546">
      <c r="B546" s="24">
        <v>542.0</v>
      </c>
      <c r="C546" s="37"/>
      <c r="D546" s="54">
        <v>0.0</v>
      </c>
    </row>
    <row r="547">
      <c r="B547" s="24">
        <v>543.0</v>
      </c>
      <c r="C547" s="37"/>
      <c r="D547" s="54">
        <v>0.0</v>
      </c>
    </row>
    <row r="548">
      <c r="B548" s="24">
        <v>544.0</v>
      </c>
      <c r="C548" s="37"/>
      <c r="D548" s="54">
        <v>0.0</v>
      </c>
    </row>
    <row r="549">
      <c r="B549" s="24">
        <v>545.0</v>
      </c>
      <c r="C549" s="37"/>
      <c r="D549" s="54">
        <v>0.0</v>
      </c>
    </row>
    <row r="550">
      <c r="B550" s="24">
        <v>546.0</v>
      </c>
      <c r="C550" s="37"/>
      <c r="D550" s="54">
        <v>0.0</v>
      </c>
    </row>
    <row r="551">
      <c r="B551" s="24">
        <v>547.0</v>
      </c>
      <c r="C551" s="37"/>
      <c r="D551" s="54">
        <v>0.0</v>
      </c>
    </row>
    <row r="552">
      <c r="B552" s="24">
        <v>548.0</v>
      </c>
      <c r="C552" s="37"/>
      <c r="D552" s="54">
        <v>0.0</v>
      </c>
    </row>
    <row r="553">
      <c r="B553" s="24">
        <v>549.0</v>
      </c>
      <c r="C553" s="37"/>
      <c r="D553" s="54">
        <v>0.0</v>
      </c>
    </row>
    <row r="554">
      <c r="B554" s="24">
        <v>550.0</v>
      </c>
      <c r="C554" s="37"/>
      <c r="D554" s="54">
        <v>0.0</v>
      </c>
    </row>
    <row r="555">
      <c r="B555" s="24">
        <v>551.0</v>
      </c>
      <c r="C555" s="37"/>
      <c r="D555" s="54">
        <v>0.0</v>
      </c>
    </row>
    <row r="556">
      <c r="B556" s="24">
        <v>552.0</v>
      </c>
      <c r="C556" s="37"/>
      <c r="D556" s="54">
        <v>0.0</v>
      </c>
    </row>
    <row r="557">
      <c r="B557" s="24">
        <v>553.0</v>
      </c>
      <c r="C557" s="37"/>
      <c r="D557" s="54">
        <v>0.0</v>
      </c>
    </row>
    <row r="558">
      <c r="B558" s="24">
        <v>554.0</v>
      </c>
      <c r="C558" s="37"/>
      <c r="D558" s="54">
        <v>0.0</v>
      </c>
    </row>
    <row r="559">
      <c r="B559" s="24">
        <v>555.0</v>
      </c>
      <c r="C559" s="37"/>
      <c r="D559" s="54">
        <v>0.0</v>
      </c>
    </row>
    <row r="560">
      <c r="B560" s="24">
        <v>556.0</v>
      </c>
      <c r="C560" s="37"/>
      <c r="D560" s="54">
        <v>0.0</v>
      </c>
    </row>
    <row r="561">
      <c r="B561" s="24">
        <v>557.0</v>
      </c>
      <c r="C561" s="37"/>
      <c r="D561" s="54">
        <v>0.0</v>
      </c>
    </row>
    <row r="562">
      <c r="B562" s="24">
        <v>558.0</v>
      </c>
      <c r="C562" s="37"/>
      <c r="D562" s="54">
        <v>0.0</v>
      </c>
    </row>
    <row r="563">
      <c r="B563" s="24">
        <v>559.0</v>
      </c>
      <c r="C563" s="37"/>
      <c r="D563" s="54">
        <v>0.0</v>
      </c>
    </row>
    <row r="564">
      <c r="B564" s="24">
        <v>560.0</v>
      </c>
      <c r="C564" s="37"/>
      <c r="D564" s="54">
        <v>0.0</v>
      </c>
    </row>
    <row r="565">
      <c r="B565" s="24">
        <v>561.0</v>
      </c>
      <c r="C565" s="37"/>
      <c r="D565" s="54">
        <v>0.0</v>
      </c>
    </row>
    <row r="566">
      <c r="B566" s="24">
        <v>562.0</v>
      </c>
      <c r="C566" s="37"/>
      <c r="D566" s="54">
        <v>0.0</v>
      </c>
    </row>
    <row r="567">
      <c r="B567" s="24">
        <v>563.0</v>
      </c>
      <c r="C567" s="37"/>
      <c r="D567" s="54">
        <v>0.0</v>
      </c>
    </row>
    <row r="568">
      <c r="B568" s="24">
        <v>564.0</v>
      </c>
      <c r="C568" s="37"/>
      <c r="D568" s="54">
        <v>0.0</v>
      </c>
    </row>
    <row r="569">
      <c r="B569" s="24">
        <v>565.0</v>
      </c>
      <c r="C569" s="37"/>
      <c r="D569" s="54">
        <v>0.0</v>
      </c>
    </row>
    <row r="570">
      <c r="B570" s="24">
        <v>566.0</v>
      </c>
      <c r="C570" s="37"/>
      <c r="D570" s="54">
        <v>0.0</v>
      </c>
    </row>
    <row r="571">
      <c r="B571" s="24">
        <v>567.0</v>
      </c>
      <c r="C571" s="37"/>
      <c r="D571" s="54">
        <v>0.0</v>
      </c>
    </row>
    <row r="572">
      <c r="B572" s="24">
        <v>568.0</v>
      </c>
      <c r="C572" s="37"/>
      <c r="D572" s="54">
        <v>0.0</v>
      </c>
    </row>
    <row r="573">
      <c r="B573" s="24">
        <v>569.0</v>
      </c>
      <c r="C573" s="37"/>
      <c r="D573" s="54">
        <v>0.0</v>
      </c>
    </row>
    <row r="574">
      <c r="B574" s="24">
        <v>570.0</v>
      </c>
      <c r="C574" s="37"/>
      <c r="D574" s="54">
        <v>0.0</v>
      </c>
    </row>
    <row r="575">
      <c r="B575" s="24">
        <v>571.0</v>
      </c>
      <c r="C575" s="37"/>
      <c r="D575" s="54">
        <v>0.0</v>
      </c>
    </row>
    <row r="576">
      <c r="B576" s="24">
        <v>572.0</v>
      </c>
      <c r="C576" s="37"/>
      <c r="D576" s="54">
        <v>0.0</v>
      </c>
    </row>
    <row r="577">
      <c r="B577" s="24">
        <v>573.0</v>
      </c>
      <c r="C577" s="37"/>
      <c r="D577" s="54">
        <v>0.0</v>
      </c>
    </row>
    <row r="578">
      <c r="B578" s="24">
        <v>574.0</v>
      </c>
      <c r="C578" s="37"/>
      <c r="D578" s="54">
        <v>0.0</v>
      </c>
    </row>
    <row r="579">
      <c r="B579" s="24">
        <v>575.0</v>
      </c>
      <c r="C579" s="37"/>
      <c r="D579" s="54">
        <v>0.0</v>
      </c>
    </row>
    <row r="580">
      <c r="B580" s="24">
        <v>576.0</v>
      </c>
      <c r="C580" s="37"/>
      <c r="D580" s="54">
        <v>0.0</v>
      </c>
    </row>
    <row r="581">
      <c r="B581" s="24">
        <v>577.0</v>
      </c>
      <c r="C581" s="37"/>
      <c r="D581" s="54">
        <v>0.0</v>
      </c>
    </row>
    <row r="582">
      <c r="B582" s="24">
        <v>578.0</v>
      </c>
      <c r="C582" s="37"/>
      <c r="D582" s="54">
        <v>0.0</v>
      </c>
    </row>
    <row r="583">
      <c r="B583" s="24">
        <v>579.0</v>
      </c>
      <c r="C583" s="37"/>
      <c r="D583" s="54">
        <v>0.0</v>
      </c>
    </row>
    <row r="584">
      <c r="B584" s="24">
        <v>580.0</v>
      </c>
      <c r="C584" s="37"/>
      <c r="D584" s="54">
        <v>0.0</v>
      </c>
    </row>
    <row r="585">
      <c r="B585" s="24">
        <v>581.0</v>
      </c>
      <c r="C585" s="37"/>
      <c r="D585" s="54">
        <v>0.0</v>
      </c>
    </row>
    <row r="586">
      <c r="B586" s="24">
        <v>582.0</v>
      </c>
      <c r="C586" s="37"/>
      <c r="D586" s="54">
        <v>0.0</v>
      </c>
    </row>
    <row r="587">
      <c r="B587" s="24">
        <v>583.0</v>
      </c>
      <c r="C587" s="37"/>
      <c r="D587" s="54">
        <v>0.0</v>
      </c>
    </row>
    <row r="588">
      <c r="B588" s="24">
        <v>584.0</v>
      </c>
      <c r="C588" s="37"/>
      <c r="D588" s="54">
        <v>0.0</v>
      </c>
    </row>
    <row r="589">
      <c r="B589" s="24">
        <v>585.0</v>
      </c>
      <c r="C589" s="37"/>
      <c r="D589" s="54">
        <v>0.0</v>
      </c>
    </row>
    <row r="590">
      <c r="B590" s="24">
        <v>586.0</v>
      </c>
      <c r="C590" s="37"/>
      <c r="D590" s="54">
        <v>0.0</v>
      </c>
    </row>
    <row r="591">
      <c r="B591" s="24">
        <v>587.0</v>
      </c>
      <c r="C591" s="37"/>
      <c r="D591" s="54">
        <v>0.0</v>
      </c>
    </row>
    <row r="592">
      <c r="B592" s="24">
        <v>588.0</v>
      </c>
      <c r="C592" s="37"/>
      <c r="D592" s="54">
        <v>0.0</v>
      </c>
    </row>
    <row r="593">
      <c r="B593" s="24">
        <v>589.0</v>
      </c>
      <c r="C593" s="37"/>
      <c r="D593" s="54">
        <v>0.0</v>
      </c>
    </row>
    <row r="594">
      <c r="B594" s="24">
        <v>590.0</v>
      </c>
      <c r="C594" s="37"/>
      <c r="D594" s="54">
        <v>0.0</v>
      </c>
    </row>
    <row r="595">
      <c r="B595" s="24">
        <v>591.0</v>
      </c>
      <c r="C595" s="37"/>
      <c r="D595" s="54">
        <v>0.0</v>
      </c>
    </row>
    <row r="596">
      <c r="B596" s="24">
        <v>592.0</v>
      </c>
      <c r="C596" s="37"/>
      <c r="D596" s="54">
        <v>0.0</v>
      </c>
    </row>
    <row r="597">
      <c r="B597" s="24">
        <v>593.0</v>
      </c>
      <c r="C597" s="37"/>
      <c r="D597" s="54">
        <v>0.0</v>
      </c>
    </row>
    <row r="598">
      <c r="B598" s="24">
        <v>594.0</v>
      </c>
      <c r="C598" s="37"/>
      <c r="D598" s="54">
        <v>0.0</v>
      </c>
    </row>
    <row r="599">
      <c r="B599" s="24">
        <v>595.0</v>
      </c>
      <c r="C599" s="37"/>
      <c r="D599" s="54">
        <v>0.0</v>
      </c>
    </row>
    <row r="600">
      <c r="B600" s="24">
        <v>596.0</v>
      </c>
      <c r="C600" s="37"/>
      <c r="D600" s="54">
        <v>0.0</v>
      </c>
    </row>
    <row r="601">
      <c r="B601" s="24">
        <v>597.0</v>
      </c>
      <c r="C601" s="37"/>
      <c r="D601" s="54">
        <v>0.0</v>
      </c>
    </row>
    <row r="602">
      <c r="B602" s="24">
        <v>598.0</v>
      </c>
      <c r="C602" s="37"/>
      <c r="D602" s="54">
        <v>0.0</v>
      </c>
    </row>
    <row r="603">
      <c r="B603" s="24">
        <v>599.0</v>
      </c>
      <c r="C603" s="37"/>
      <c r="D603" s="54">
        <v>0.0</v>
      </c>
    </row>
    <row r="604">
      <c r="B604" s="24">
        <v>600.0</v>
      </c>
      <c r="C604" s="37"/>
      <c r="D604" s="54">
        <v>0.0</v>
      </c>
    </row>
    <row r="605">
      <c r="B605" s="24">
        <v>601.0</v>
      </c>
      <c r="C605" s="37"/>
      <c r="D605" s="54">
        <v>0.0</v>
      </c>
    </row>
    <row r="606">
      <c r="B606" s="24">
        <v>602.0</v>
      </c>
      <c r="C606" s="37"/>
      <c r="D606" s="54">
        <v>0.0</v>
      </c>
    </row>
    <row r="607">
      <c r="B607" s="24">
        <v>603.0</v>
      </c>
      <c r="C607" s="37"/>
      <c r="D607" s="54">
        <v>0.0</v>
      </c>
    </row>
    <row r="608">
      <c r="B608" s="24">
        <v>604.0</v>
      </c>
      <c r="C608" s="37"/>
      <c r="D608" s="54">
        <v>0.0</v>
      </c>
    </row>
    <row r="609">
      <c r="B609" s="24">
        <v>605.0</v>
      </c>
      <c r="C609" s="37"/>
      <c r="D609" s="54">
        <v>0.0</v>
      </c>
    </row>
    <row r="610">
      <c r="B610" s="24">
        <v>606.0</v>
      </c>
      <c r="C610" s="37"/>
      <c r="D610" s="54">
        <v>0.0</v>
      </c>
    </row>
    <row r="611">
      <c r="B611" s="24">
        <v>607.0</v>
      </c>
      <c r="C611" s="37"/>
      <c r="D611" s="54">
        <v>0.0</v>
      </c>
    </row>
    <row r="612">
      <c r="B612" s="24">
        <v>608.0</v>
      </c>
      <c r="C612" s="37"/>
      <c r="D612" s="54">
        <v>0.0</v>
      </c>
    </row>
    <row r="613">
      <c r="B613" s="24">
        <v>609.0</v>
      </c>
      <c r="C613" s="37"/>
      <c r="D613" s="54">
        <v>0.0</v>
      </c>
    </row>
    <row r="614">
      <c r="B614" s="24">
        <v>610.0</v>
      </c>
      <c r="C614" s="37"/>
      <c r="D614" s="54">
        <v>0.0</v>
      </c>
    </row>
    <row r="615">
      <c r="B615" s="24">
        <v>611.0</v>
      </c>
      <c r="C615" s="37"/>
      <c r="D615" s="54">
        <v>0.0</v>
      </c>
    </row>
    <row r="616">
      <c r="B616" s="24">
        <v>612.0</v>
      </c>
      <c r="C616" s="37"/>
      <c r="D616" s="54">
        <v>0.0</v>
      </c>
    </row>
    <row r="617">
      <c r="B617" s="24">
        <v>613.0</v>
      </c>
      <c r="C617" s="37"/>
      <c r="D617" s="54">
        <v>0.0</v>
      </c>
    </row>
    <row r="618">
      <c r="B618" s="38">
        <v>614.0</v>
      </c>
      <c r="C618" s="55"/>
      <c r="D618" s="56">
        <v>0.0</v>
      </c>
    </row>
    <row r="619">
      <c r="B619" s="57"/>
      <c r="C619" s="57"/>
      <c r="D619" s="57"/>
    </row>
    <row r="620">
      <c r="B620" s="57"/>
      <c r="C620" s="57"/>
      <c r="D620" s="57"/>
    </row>
    <row r="621">
      <c r="B621" s="57"/>
      <c r="C621" s="57"/>
      <c r="D621" s="57"/>
    </row>
    <row r="622">
      <c r="B622" s="57"/>
      <c r="C622" s="57"/>
      <c r="D622" s="57"/>
    </row>
    <row r="623">
      <c r="B623" s="57"/>
      <c r="C623" s="57"/>
      <c r="D623" s="57"/>
    </row>
  </sheetData>
  <mergeCells count="3">
    <mergeCell ref="B2:B3"/>
    <mergeCell ref="C2:C3"/>
    <mergeCell ref="D2:D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9.38"/>
    <col customWidth="1" min="4" max="4" width="10.63"/>
    <col customWidth="1" min="5" max="5" width="9.63"/>
    <col customWidth="1" min="6" max="6" width="19.38"/>
    <col customWidth="1" min="7" max="7" width="13.0"/>
    <col customWidth="1" min="8" max="8" width="13.13"/>
    <col customWidth="1" min="9" max="9" width="11.38"/>
    <col customWidth="1" min="10" max="14" width="19.38"/>
    <col customWidth="1" min="15" max="40" width="11.5"/>
    <col customWidth="1" min="41" max="44" width="7.63"/>
  </cols>
  <sheetData>
    <row r="3">
      <c r="B3" s="58" t="s">
        <v>221</v>
      </c>
      <c r="C3" s="3"/>
      <c r="D3" s="3"/>
      <c r="E3" s="3"/>
      <c r="F3" s="3"/>
      <c r="G3" s="3"/>
      <c r="H3" s="3"/>
      <c r="I3" s="4"/>
      <c r="J3" s="59"/>
      <c r="K3" s="58" t="s">
        <v>222</v>
      </c>
      <c r="L3" s="3"/>
      <c r="M3" s="3"/>
      <c r="N3" s="4"/>
      <c r="P3" s="26"/>
    </row>
    <row r="4">
      <c r="B4" s="60"/>
      <c r="C4" s="61"/>
      <c r="D4" s="61"/>
      <c r="E4" s="61"/>
      <c r="F4" s="61"/>
      <c r="G4" s="61"/>
      <c r="H4" s="61"/>
      <c r="I4" s="62"/>
      <c r="J4" s="59"/>
      <c r="K4" s="60"/>
      <c r="L4" s="61"/>
      <c r="M4" s="61"/>
      <c r="N4" s="62"/>
      <c r="P4" s="26"/>
    </row>
    <row r="5">
      <c r="B5" s="63" t="s">
        <v>223</v>
      </c>
      <c r="C5" s="64" t="s">
        <v>224</v>
      </c>
      <c r="D5" s="64" t="s">
        <v>225</v>
      </c>
      <c r="E5" s="64" t="s">
        <v>226</v>
      </c>
      <c r="F5" s="64" t="s">
        <v>227</v>
      </c>
      <c r="G5" s="64" t="s">
        <v>228</v>
      </c>
      <c r="H5" s="64" t="s">
        <v>229</v>
      </c>
      <c r="I5" s="65" t="s">
        <v>230</v>
      </c>
      <c r="J5" s="59"/>
      <c r="K5" s="66" t="s">
        <v>4</v>
      </c>
      <c r="L5" s="67" t="s">
        <v>7</v>
      </c>
      <c r="M5" s="68" t="s">
        <v>229</v>
      </c>
      <c r="N5" s="65" t="s">
        <v>230</v>
      </c>
      <c r="P5" s="26"/>
    </row>
    <row r="6">
      <c r="B6" s="24" t="s">
        <v>66</v>
      </c>
      <c r="C6" s="25" t="s">
        <v>231</v>
      </c>
      <c r="D6" s="25"/>
      <c r="E6" s="25">
        <v>21.0</v>
      </c>
      <c r="F6" s="25" t="b">
        <v>1</v>
      </c>
      <c r="G6" s="25">
        <v>47.0</v>
      </c>
      <c r="H6" s="25">
        <v>595.0</v>
      </c>
      <c r="I6" s="27">
        <v>596.0</v>
      </c>
      <c r="K6" s="69" t="s">
        <v>216</v>
      </c>
      <c r="L6" s="70">
        <v>35.0</v>
      </c>
      <c r="M6" s="70">
        <v>573.0</v>
      </c>
      <c r="N6" s="27">
        <v>574.0</v>
      </c>
      <c r="P6" s="26"/>
    </row>
    <row r="7">
      <c r="B7" s="24"/>
      <c r="C7" s="25" t="s">
        <v>17</v>
      </c>
      <c r="D7" s="25"/>
      <c r="E7" s="25">
        <v>21.0</v>
      </c>
      <c r="F7" s="25" t="b">
        <v>1</v>
      </c>
      <c r="G7" s="25">
        <v>48.0</v>
      </c>
      <c r="H7" s="25">
        <v>597.0</v>
      </c>
      <c r="I7" s="27">
        <v>598.0</v>
      </c>
      <c r="K7" s="69" t="s">
        <v>127</v>
      </c>
      <c r="L7" s="70">
        <v>36.0</v>
      </c>
      <c r="M7" s="70">
        <v>575.0</v>
      </c>
      <c r="N7" s="27">
        <v>576.0</v>
      </c>
      <c r="P7" s="26"/>
    </row>
    <row r="8">
      <c r="B8" s="71" t="s">
        <v>232</v>
      </c>
      <c r="C8" s="72" t="s">
        <v>11</v>
      </c>
      <c r="D8" s="72"/>
      <c r="E8" s="72">
        <v>22.0</v>
      </c>
      <c r="F8" s="72" t="b">
        <v>1</v>
      </c>
      <c r="G8" s="72">
        <v>49.0</v>
      </c>
      <c r="H8" s="72">
        <v>599.0</v>
      </c>
      <c r="I8" s="73">
        <v>600.0</v>
      </c>
      <c r="K8" s="69" t="s">
        <v>127</v>
      </c>
      <c r="L8" s="70">
        <v>37.0</v>
      </c>
      <c r="M8" s="70">
        <v>577.0</v>
      </c>
      <c r="N8" s="27">
        <v>578.0</v>
      </c>
      <c r="P8" s="26"/>
    </row>
    <row r="9">
      <c r="B9" s="24"/>
      <c r="C9" s="25" t="s">
        <v>17</v>
      </c>
      <c r="D9" s="25"/>
      <c r="E9" s="25">
        <v>22.0</v>
      </c>
      <c r="F9" s="25" t="b">
        <v>1</v>
      </c>
      <c r="G9" s="25">
        <v>50.0</v>
      </c>
      <c r="H9" s="25">
        <v>601.0</v>
      </c>
      <c r="I9" s="27">
        <v>602.0</v>
      </c>
      <c r="K9" s="69" t="s">
        <v>127</v>
      </c>
      <c r="L9" s="70">
        <v>38.0</v>
      </c>
      <c r="M9" s="70">
        <v>579.0</v>
      </c>
      <c r="N9" s="27">
        <v>580.0</v>
      </c>
      <c r="P9" s="26"/>
    </row>
    <row r="10">
      <c r="B10" s="71" t="s">
        <v>51</v>
      </c>
      <c r="C10" s="72" t="s">
        <v>11</v>
      </c>
      <c r="D10" s="72"/>
      <c r="E10" s="72">
        <v>23.0</v>
      </c>
      <c r="F10" s="72" t="b">
        <v>1</v>
      </c>
      <c r="G10" s="72">
        <v>51.0</v>
      </c>
      <c r="H10" s="72">
        <v>603.0</v>
      </c>
      <c r="I10" s="73">
        <v>604.0</v>
      </c>
      <c r="K10" s="69" t="s">
        <v>127</v>
      </c>
      <c r="L10" s="70">
        <v>39.0</v>
      </c>
      <c r="M10" s="70">
        <v>581.0</v>
      </c>
      <c r="N10" s="27">
        <v>582.0</v>
      </c>
      <c r="P10" s="26"/>
    </row>
    <row r="11">
      <c r="B11" s="24"/>
      <c r="C11" s="25" t="s">
        <v>12</v>
      </c>
      <c r="D11" s="25"/>
      <c r="E11" s="25">
        <v>23.0</v>
      </c>
      <c r="F11" s="25" t="b">
        <v>1</v>
      </c>
      <c r="G11" s="25">
        <v>52.0</v>
      </c>
      <c r="H11" s="25">
        <v>605.0</v>
      </c>
      <c r="I11" s="27">
        <v>606.0</v>
      </c>
      <c r="K11" s="69" t="s">
        <v>127</v>
      </c>
      <c r="L11" s="70">
        <v>40.0</v>
      </c>
      <c r="M11" s="70">
        <v>583.0</v>
      </c>
      <c r="N11" s="27">
        <v>584.0</v>
      </c>
      <c r="P11" s="26"/>
    </row>
    <row r="12">
      <c r="B12" s="24"/>
      <c r="C12" s="25" t="s">
        <v>17</v>
      </c>
      <c r="D12" s="25"/>
      <c r="E12" s="25">
        <v>23.0</v>
      </c>
      <c r="F12" s="25" t="b">
        <v>1</v>
      </c>
      <c r="G12" s="25">
        <v>53.0</v>
      </c>
      <c r="H12" s="25"/>
      <c r="I12" s="27"/>
      <c r="K12" s="69" t="s">
        <v>127</v>
      </c>
      <c r="L12" s="70">
        <v>41.0</v>
      </c>
      <c r="M12" s="70">
        <v>585.0</v>
      </c>
      <c r="N12" s="27">
        <v>586.0</v>
      </c>
      <c r="P12" s="26"/>
    </row>
    <row r="13">
      <c r="B13" s="24"/>
      <c r="C13" s="25" t="s">
        <v>233</v>
      </c>
      <c r="D13" s="25" t="s">
        <v>234</v>
      </c>
      <c r="E13" s="25">
        <v>24.0</v>
      </c>
      <c r="F13" s="25" t="b">
        <v>1</v>
      </c>
      <c r="G13" s="25">
        <v>54.0</v>
      </c>
      <c r="H13" s="25"/>
      <c r="I13" s="27"/>
      <c r="K13" s="69" t="s">
        <v>127</v>
      </c>
      <c r="L13" s="70">
        <v>42.0</v>
      </c>
      <c r="M13" s="70">
        <v>587.0</v>
      </c>
      <c r="N13" s="27">
        <v>588.0</v>
      </c>
      <c r="P13" s="26"/>
    </row>
    <row r="14">
      <c r="B14" s="71" t="s">
        <v>53</v>
      </c>
      <c r="C14" s="72" t="s">
        <v>11</v>
      </c>
      <c r="D14" s="72"/>
      <c r="E14" s="72">
        <v>25.0</v>
      </c>
      <c r="F14" s="72" t="b">
        <v>1</v>
      </c>
      <c r="G14" s="72">
        <v>55.0</v>
      </c>
      <c r="H14" s="72"/>
      <c r="I14" s="73"/>
      <c r="K14" s="69" t="s">
        <v>127</v>
      </c>
      <c r="L14" s="70">
        <v>43.0</v>
      </c>
      <c r="M14" s="70">
        <v>589.0</v>
      </c>
      <c r="N14" s="27">
        <v>590.0</v>
      </c>
      <c r="P14" s="26"/>
    </row>
    <row r="15">
      <c r="B15" s="24"/>
      <c r="C15" s="25" t="s">
        <v>235</v>
      </c>
      <c r="D15" s="25"/>
      <c r="E15" s="25">
        <v>25.0</v>
      </c>
      <c r="F15" s="25" t="b">
        <v>1</v>
      </c>
      <c r="G15" s="25">
        <v>56.0</v>
      </c>
      <c r="H15" s="25"/>
      <c r="I15" s="27"/>
      <c r="K15" s="69" t="s">
        <v>127</v>
      </c>
      <c r="L15" s="70">
        <v>44.0</v>
      </c>
      <c r="M15" s="70">
        <v>591.0</v>
      </c>
      <c r="N15" s="27">
        <v>592.0</v>
      </c>
    </row>
    <row r="16">
      <c r="B16" s="24"/>
      <c r="C16" s="25" t="s">
        <v>17</v>
      </c>
      <c r="D16" s="25"/>
      <c r="E16" s="25">
        <v>25.0</v>
      </c>
      <c r="F16" s="25" t="b">
        <v>1</v>
      </c>
      <c r="G16" s="25">
        <v>57.0</v>
      </c>
      <c r="H16" s="25"/>
      <c r="I16" s="27"/>
      <c r="K16" s="74" t="s">
        <v>127</v>
      </c>
      <c r="L16" s="75">
        <v>45.0</v>
      </c>
      <c r="M16" s="76">
        <v>593.0</v>
      </c>
      <c r="N16" s="41">
        <v>594.0</v>
      </c>
    </row>
    <row r="17">
      <c r="B17" s="24"/>
      <c r="C17" s="25" t="s">
        <v>236</v>
      </c>
      <c r="D17" s="25" t="s">
        <v>234</v>
      </c>
      <c r="E17" s="25">
        <v>26.0</v>
      </c>
      <c r="F17" s="25" t="b">
        <v>1</v>
      </c>
      <c r="G17" s="25">
        <v>58.0</v>
      </c>
      <c r="H17" s="25"/>
      <c r="I17" s="27"/>
    </row>
    <row r="18">
      <c r="B18" s="24"/>
      <c r="C18" s="25" t="s">
        <v>237</v>
      </c>
      <c r="D18" s="25" t="s">
        <v>234</v>
      </c>
      <c r="E18" s="25">
        <v>27.0</v>
      </c>
      <c r="F18" s="25" t="b">
        <v>1</v>
      </c>
      <c r="G18" s="25">
        <v>59.0</v>
      </c>
      <c r="H18" s="25"/>
      <c r="I18" s="27"/>
    </row>
    <row r="19">
      <c r="B19" s="77" t="s">
        <v>56</v>
      </c>
      <c r="C19" s="78" t="s">
        <v>238</v>
      </c>
      <c r="D19" s="78"/>
      <c r="E19" s="78">
        <v>28.0</v>
      </c>
      <c r="F19" s="78"/>
      <c r="G19" s="78">
        <v>60.0</v>
      </c>
      <c r="H19" s="78"/>
      <c r="I19" s="79"/>
    </row>
    <row r="20">
      <c r="B20" s="24" t="s">
        <v>57</v>
      </c>
      <c r="C20" s="25" t="s">
        <v>238</v>
      </c>
      <c r="D20" s="25"/>
      <c r="E20" s="25">
        <v>29.0</v>
      </c>
      <c r="F20" s="25"/>
      <c r="G20" s="25">
        <v>61.0</v>
      </c>
      <c r="H20" s="25"/>
      <c r="I20" s="27"/>
    </row>
    <row r="21">
      <c r="B21" s="77" t="s">
        <v>158</v>
      </c>
      <c r="C21" s="78" t="s">
        <v>238</v>
      </c>
      <c r="D21" s="78"/>
      <c r="E21" s="78">
        <v>30.0</v>
      </c>
      <c r="F21" s="78" t="b">
        <v>1</v>
      </c>
      <c r="G21" s="78">
        <v>62.0</v>
      </c>
      <c r="H21" s="78"/>
      <c r="I21" s="79"/>
    </row>
    <row r="22">
      <c r="B22" s="24" t="s">
        <v>239</v>
      </c>
      <c r="C22" s="29"/>
      <c r="D22" s="25"/>
      <c r="E22" s="25">
        <v>31.0</v>
      </c>
      <c r="F22" s="25" t="b">
        <v>1</v>
      </c>
      <c r="G22" s="25">
        <v>63.0</v>
      </c>
      <c r="H22" s="25"/>
      <c r="I22" s="27"/>
    </row>
    <row r="23">
      <c r="B23" s="71" t="s">
        <v>62</v>
      </c>
      <c r="C23" s="72" t="s">
        <v>32</v>
      </c>
      <c r="D23" s="72"/>
      <c r="E23" s="72">
        <v>32.0</v>
      </c>
      <c r="F23" s="72" t="b">
        <v>1</v>
      </c>
      <c r="G23" s="72">
        <v>64.0</v>
      </c>
      <c r="H23" s="72"/>
      <c r="I23" s="73"/>
    </row>
    <row r="24">
      <c r="B24" s="80"/>
      <c r="C24" s="25" t="s">
        <v>17</v>
      </c>
      <c r="D24" s="25"/>
      <c r="E24" s="25">
        <v>32.0</v>
      </c>
      <c r="F24" s="25" t="b">
        <v>1</v>
      </c>
      <c r="G24" s="25">
        <v>65.0</v>
      </c>
      <c r="H24" s="25"/>
      <c r="I24" s="27"/>
    </row>
    <row r="25">
      <c r="B25" s="80"/>
      <c r="C25" s="25" t="s">
        <v>240</v>
      </c>
      <c r="D25" s="25" t="s">
        <v>234</v>
      </c>
      <c r="E25" s="25">
        <v>33.0</v>
      </c>
      <c r="F25" s="25" t="b">
        <v>1</v>
      </c>
      <c r="G25" s="25">
        <v>66.0</v>
      </c>
      <c r="H25" s="25"/>
      <c r="I25" s="27"/>
    </row>
    <row r="26">
      <c r="B26" s="71" t="s">
        <v>67</v>
      </c>
      <c r="C26" s="72" t="s">
        <v>238</v>
      </c>
      <c r="D26" s="72"/>
      <c r="E26" s="72">
        <v>34.0</v>
      </c>
      <c r="F26" s="72" t="b">
        <v>1</v>
      </c>
      <c r="G26" s="72">
        <v>67.0</v>
      </c>
      <c r="H26" s="72"/>
      <c r="I26" s="73"/>
    </row>
    <row r="27">
      <c r="B27" s="71" t="s">
        <v>68</v>
      </c>
      <c r="C27" s="72" t="s">
        <v>238</v>
      </c>
      <c r="D27" s="72"/>
      <c r="E27" s="72">
        <v>35.0</v>
      </c>
      <c r="F27" s="72" t="b">
        <v>1</v>
      </c>
      <c r="G27" s="72">
        <v>68.0</v>
      </c>
      <c r="H27" s="72"/>
      <c r="I27" s="73"/>
    </row>
    <row r="28">
      <c r="B28" s="71" t="s">
        <v>69</v>
      </c>
      <c r="C28" s="72" t="s">
        <v>238</v>
      </c>
      <c r="D28" s="72"/>
      <c r="E28" s="72">
        <v>36.0</v>
      </c>
      <c r="F28" s="72" t="s">
        <v>238</v>
      </c>
      <c r="G28" s="72">
        <v>69.0</v>
      </c>
      <c r="H28" s="72"/>
      <c r="I28" s="73"/>
    </row>
    <row r="29">
      <c r="B29" s="71" t="s">
        <v>71</v>
      </c>
      <c r="C29" s="72" t="s">
        <v>238</v>
      </c>
      <c r="D29" s="72"/>
      <c r="E29" s="72">
        <v>37.0</v>
      </c>
      <c r="F29" s="72"/>
      <c r="G29" s="72">
        <v>70.0</v>
      </c>
      <c r="H29" s="72"/>
      <c r="I29" s="73"/>
    </row>
    <row r="30">
      <c r="B30" s="71" t="s">
        <v>73</v>
      </c>
      <c r="C30" s="72" t="s">
        <v>241</v>
      </c>
      <c r="D30" s="72"/>
      <c r="E30" s="72">
        <v>38.0</v>
      </c>
      <c r="F30" s="72"/>
      <c r="G30" s="72">
        <v>71.0</v>
      </c>
      <c r="H30" s="72"/>
      <c r="I30" s="73"/>
    </row>
    <row r="31">
      <c r="B31" s="80"/>
      <c r="C31" s="25" t="s">
        <v>17</v>
      </c>
      <c r="D31" s="25"/>
      <c r="E31" s="25">
        <v>38.0</v>
      </c>
      <c r="F31" s="25"/>
      <c r="G31" s="25">
        <v>72.0</v>
      </c>
      <c r="H31" s="25"/>
      <c r="I31" s="27"/>
    </row>
    <row r="32">
      <c r="B32" s="71" t="s">
        <v>74</v>
      </c>
      <c r="C32" s="81"/>
      <c r="D32" s="72"/>
      <c r="E32" s="72">
        <v>39.0</v>
      </c>
      <c r="F32" s="72"/>
      <c r="G32" s="72">
        <v>73.0</v>
      </c>
      <c r="H32" s="72"/>
      <c r="I32" s="73"/>
    </row>
    <row r="33">
      <c r="B33" s="71" t="s">
        <v>165</v>
      </c>
      <c r="C33" s="81"/>
      <c r="D33" s="72"/>
      <c r="E33" s="72">
        <v>40.0</v>
      </c>
      <c r="F33" s="72" t="b">
        <v>1</v>
      </c>
      <c r="G33" s="72">
        <v>74.0</v>
      </c>
      <c r="H33" s="72"/>
      <c r="I33" s="73"/>
    </row>
    <row r="34">
      <c r="B34" s="71" t="s">
        <v>242</v>
      </c>
      <c r="C34" s="72" t="s">
        <v>243</v>
      </c>
      <c r="D34" s="72"/>
      <c r="E34" s="72">
        <v>41.0</v>
      </c>
      <c r="F34" s="72"/>
      <c r="G34" s="72">
        <v>75.0</v>
      </c>
      <c r="H34" s="72"/>
      <c r="I34" s="73"/>
    </row>
    <row r="35">
      <c r="B35" s="80"/>
      <c r="C35" s="25" t="s">
        <v>241</v>
      </c>
      <c r="D35" s="25"/>
      <c r="E35" s="25">
        <v>41.0</v>
      </c>
      <c r="F35" s="25"/>
      <c r="G35" s="25">
        <v>76.0</v>
      </c>
      <c r="H35" s="25"/>
      <c r="I35" s="27"/>
    </row>
    <row r="36">
      <c r="B36" s="80"/>
      <c r="C36" s="25" t="s">
        <v>17</v>
      </c>
      <c r="D36" s="25"/>
      <c r="E36" s="25">
        <v>41.0</v>
      </c>
      <c r="F36" s="25"/>
      <c r="G36" s="25">
        <v>77.0</v>
      </c>
      <c r="H36" s="25"/>
      <c r="I36" s="27"/>
    </row>
    <row r="37">
      <c r="B37" s="80"/>
      <c r="C37" s="25" t="s">
        <v>244</v>
      </c>
      <c r="D37" s="25" t="s">
        <v>234</v>
      </c>
      <c r="E37" s="25">
        <v>42.0</v>
      </c>
      <c r="F37" s="25"/>
      <c r="G37" s="25">
        <v>78.0</v>
      </c>
      <c r="H37" s="25"/>
      <c r="I37" s="27"/>
    </row>
    <row r="38">
      <c r="B38" s="80"/>
      <c r="C38" s="25" t="s">
        <v>245</v>
      </c>
      <c r="D38" s="25" t="s">
        <v>234</v>
      </c>
      <c r="E38" s="25">
        <v>43.0</v>
      </c>
      <c r="F38" s="25"/>
      <c r="G38" s="25">
        <v>79.0</v>
      </c>
      <c r="H38" s="25"/>
      <c r="I38" s="27"/>
    </row>
    <row r="39">
      <c r="A39" s="18"/>
      <c r="B39" s="80"/>
      <c r="C39" s="25" t="s">
        <v>237</v>
      </c>
      <c r="D39" s="25" t="s">
        <v>234</v>
      </c>
      <c r="E39" s="25">
        <v>44.0</v>
      </c>
      <c r="F39" s="25"/>
      <c r="G39" s="25">
        <v>80.0</v>
      </c>
      <c r="H39" s="25"/>
      <c r="I39" s="27"/>
      <c r="AS39" s="23"/>
    </row>
    <row r="40">
      <c r="B40" s="71" t="s">
        <v>246</v>
      </c>
      <c r="C40" s="72" t="s">
        <v>238</v>
      </c>
      <c r="D40" s="72"/>
      <c r="E40" s="72">
        <v>45.0</v>
      </c>
      <c r="F40" s="72" t="b">
        <v>1</v>
      </c>
      <c r="G40" s="72">
        <v>81.0</v>
      </c>
      <c r="H40" s="72"/>
      <c r="I40" s="73"/>
    </row>
    <row r="41">
      <c r="B41" s="71" t="s">
        <v>83</v>
      </c>
      <c r="C41" s="72" t="s">
        <v>238</v>
      </c>
      <c r="D41" s="72"/>
      <c r="E41" s="72">
        <v>46.0</v>
      </c>
      <c r="F41" s="72"/>
      <c r="G41" s="72">
        <v>82.0</v>
      </c>
      <c r="H41" s="72"/>
      <c r="I41" s="73"/>
    </row>
    <row r="42">
      <c r="B42" s="77" t="s">
        <v>167</v>
      </c>
      <c r="C42" s="78" t="s">
        <v>238</v>
      </c>
      <c r="D42" s="78"/>
      <c r="E42" s="78">
        <v>47.0</v>
      </c>
      <c r="F42" s="78"/>
      <c r="G42" s="78">
        <v>83.0</v>
      </c>
      <c r="H42" s="78"/>
      <c r="I42" s="79"/>
    </row>
    <row r="43">
      <c r="B43" s="24" t="s">
        <v>169</v>
      </c>
      <c r="C43" s="25" t="s">
        <v>238</v>
      </c>
      <c r="D43" s="25"/>
      <c r="E43" s="25">
        <v>48.0</v>
      </c>
      <c r="F43" s="25"/>
      <c r="G43" s="25">
        <v>84.0</v>
      </c>
      <c r="H43" s="25"/>
      <c r="I43" s="27"/>
    </row>
    <row r="44">
      <c r="B44" s="71" t="s">
        <v>87</v>
      </c>
      <c r="C44" s="72" t="s">
        <v>238</v>
      </c>
      <c r="D44" s="72"/>
      <c r="E44" s="72">
        <v>49.0</v>
      </c>
      <c r="F44" s="72"/>
      <c r="G44" s="72">
        <v>85.0</v>
      </c>
      <c r="H44" s="72"/>
      <c r="I44" s="73"/>
    </row>
    <row r="45">
      <c r="B45" s="71" t="s">
        <v>88</v>
      </c>
      <c r="C45" s="72" t="s">
        <v>238</v>
      </c>
      <c r="D45" s="72"/>
      <c r="E45" s="72">
        <v>50.0</v>
      </c>
      <c r="F45" s="72"/>
      <c r="G45" s="72">
        <v>86.0</v>
      </c>
      <c r="H45" s="72"/>
      <c r="I45" s="73"/>
    </row>
    <row r="46">
      <c r="B46" s="71" t="s">
        <v>89</v>
      </c>
      <c r="C46" s="72" t="s">
        <v>247</v>
      </c>
      <c r="D46" s="72"/>
      <c r="E46" s="72">
        <v>51.0</v>
      </c>
      <c r="F46" s="72" t="b">
        <v>1</v>
      </c>
      <c r="G46" s="72">
        <v>87.0</v>
      </c>
      <c r="H46" s="72"/>
      <c r="I46" s="73"/>
    </row>
    <row r="47">
      <c r="B47" s="80"/>
      <c r="C47" s="25" t="s">
        <v>170</v>
      </c>
      <c r="D47" s="25" t="s">
        <v>234</v>
      </c>
      <c r="E47" s="25">
        <v>52.0</v>
      </c>
      <c r="F47" s="25" t="b">
        <v>1</v>
      </c>
      <c r="G47" s="25">
        <v>88.0</v>
      </c>
      <c r="H47" s="25"/>
      <c r="I47" s="27"/>
    </row>
    <row r="48">
      <c r="B48" s="71" t="s">
        <v>90</v>
      </c>
      <c r="C48" s="72" t="s">
        <v>247</v>
      </c>
      <c r="D48" s="72"/>
      <c r="E48" s="72">
        <v>53.0</v>
      </c>
      <c r="F48" s="72" t="b">
        <v>1</v>
      </c>
      <c r="G48" s="72">
        <v>89.0</v>
      </c>
      <c r="H48" s="72"/>
      <c r="I48" s="73"/>
    </row>
    <row r="49">
      <c r="B49" s="80"/>
      <c r="C49" s="25" t="s">
        <v>11</v>
      </c>
      <c r="D49" s="25"/>
      <c r="E49" s="25">
        <v>53.0</v>
      </c>
      <c r="F49" s="25" t="b">
        <v>1</v>
      </c>
      <c r="G49" s="25">
        <v>90.0</v>
      </c>
      <c r="H49" s="25"/>
      <c r="I49" s="27"/>
    </row>
    <row r="50">
      <c r="B50" s="80"/>
      <c r="C50" s="25" t="s">
        <v>248</v>
      </c>
      <c r="D50" s="25" t="s">
        <v>234</v>
      </c>
      <c r="E50" s="25">
        <v>54.0</v>
      </c>
      <c r="F50" s="25" t="b">
        <v>1</v>
      </c>
      <c r="G50" s="25">
        <v>91.0</v>
      </c>
      <c r="H50" s="25"/>
      <c r="I50" s="27"/>
    </row>
    <row r="51">
      <c r="B51" s="71" t="s">
        <v>92</v>
      </c>
      <c r="C51" s="72" t="s">
        <v>247</v>
      </c>
      <c r="D51" s="72"/>
      <c r="E51" s="72">
        <v>55.0</v>
      </c>
      <c r="F51" s="72" t="b">
        <v>1</v>
      </c>
      <c r="G51" s="72">
        <v>92.0</v>
      </c>
      <c r="H51" s="72"/>
      <c r="I51" s="73"/>
    </row>
    <row r="52">
      <c r="B52" s="80"/>
      <c r="C52" s="25" t="s">
        <v>11</v>
      </c>
      <c r="D52" s="25"/>
      <c r="E52" s="25">
        <v>55.0</v>
      </c>
      <c r="F52" s="25" t="b">
        <v>1</v>
      </c>
      <c r="G52" s="25">
        <v>93.0</v>
      </c>
      <c r="H52" s="25"/>
      <c r="I52" s="27"/>
    </row>
    <row r="53">
      <c r="B53" s="71" t="s">
        <v>94</v>
      </c>
      <c r="C53" s="72" t="s">
        <v>11</v>
      </c>
      <c r="D53" s="72"/>
      <c r="E53" s="72">
        <v>56.0</v>
      </c>
      <c r="F53" s="72" t="b">
        <v>1</v>
      </c>
      <c r="G53" s="72">
        <v>94.0</v>
      </c>
      <c r="H53" s="72"/>
      <c r="I53" s="73"/>
    </row>
    <row r="54">
      <c r="B54" s="80"/>
      <c r="C54" s="25" t="s">
        <v>17</v>
      </c>
      <c r="D54" s="25"/>
      <c r="E54" s="25">
        <v>56.0</v>
      </c>
      <c r="F54" s="25" t="b">
        <v>1</v>
      </c>
      <c r="G54" s="25">
        <v>95.0</v>
      </c>
      <c r="H54" s="25"/>
      <c r="I54" s="27"/>
    </row>
    <row r="55">
      <c r="B55" s="80"/>
      <c r="C55" s="25" t="s">
        <v>249</v>
      </c>
      <c r="D55" s="25" t="s">
        <v>234</v>
      </c>
      <c r="E55" s="25">
        <v>57.0</v>
      </c>
      <c r="F55" s="25" t="b">
        <v>1</v>
      </c>
      <c r="G55" s="25">
        <v>96.0</v>
      </c>
      <c r="H55" s="25"/>
      <c r="I55" s="27"/>
    </row>
    <row r="56">
      <c r="B56" s="71" t="s">
        <v>98</v>
      </c>
      <c r="C56" s="72" t="s">
        <v>250</v>
      </c>
      <c r="D56" s="72"/>
      <c r="E56" s="72">
        <v>58.0</v>
      </c>
      <c r="F56" s="72"/>
      <c r="G56" s="72">
        <v>97.0</v>
      </c>
      <c r="H56" s="72"/>
      <c r="I56" s="73"/>
    </row>
    <row r="57">
      <c r="B57" s="82"/>
      <c r="C57" s="83" t="s">
        <v>251</v>
      </c>
      <c r="D57" s="83" t="s">
        <v>234</v>
      </c>
      <c r="E57" s="83">
        <v>59.0</v>
      </c>
      <c r="F57" s="83"/>
      <c r="G57" s="83">
        <v>98.0</v>
      </c>
      <c r="H57" s="83"/>
      <c r="I57" s="84"/>
    </row>
    <row r="58">
      <c r="B58" s="77" t="s">
        <v>98</v>
      </c>
      <c r="C58" s="78" t="s">
        <v>238</v>
      </c>
      <c r="D58" s="78"/>
      <c r="E58" s="78">
        <v>60.0</v>
      </c>
      <c r="F58" s="78"/>
      <c r="G58" s="78">
        <v>99.0</v>
      </c>
      <c r="H58" s="78"/>
      <c r="I58" s="79"/>
    </row>
    <row r="59">
      <c r="B59" s="24" t="s">
        <v>100</v>
      </c>
      <c r="C59" s="25" t="s">
        <v>238</v>
      </c>
      <c r="D59" s="25"/>
      <c r="E59" s="25">
        <v>61.0</v>
      </c>
      <c r="F59" s="25"/>
      <c r="G59" s="25">
        <v>100.0</v>
      </c>
      <c r="H59" s="25"/>
      <c r="I59" s="27"/>
    </row>
    <row r="60">
      <c r="B60" s="71" t="s">
        <v>101</v>
      </c>
      <c r="C60" s="72" t="s">
        <v>247</v>
      </c>
      <c r="D60" s="72"/>
      <c r="E60" s="72">
        <v>62.0</v>
      </c>
      <c r="F60" s="72" t="b">
        <v>1</v>
      </c>
      <c r="G60" s="72">
        <v>101.0</v>
      </c>
      <c r="H60" s="72"/>
      <c r="I60" s="73"/>
    </row>
    <row r="61">
      <c r="B61" s="80"/>
      <c r="C61" s="25" t="s">
        <v>103</v>
      </c>
      <c r="D61" s="25" t="s">
        <v>234</v>
      </c>
      <c r="E61" s="25">
        <v>63.0</v>
      </c>
      <c r="F61" s="25" t="b">
        <v>1</v>
      </c>
      <c r="G61" s="25">
        <v>102.0</v>
      </c>
      <c r="H61" s="25"/>
      <c r="I61" s="27"/>
    </row>
    <row r="62">
      <c r="B62" s="80"/>
      <c r="C62" s="25" t="s">
        <v>102</v>
      </c>
      <c r="D62" s="25" t="s">
        <v>234</v>
      </c>
      <c r="E62" s="25">
        <v>64.0</v>
      </c>
      <c r="F62" s="25" t="b">
        <v>1</v>
      </c>
      <c r="G62" s="25">
        <v>103.0</v>
      </c>
      <c r="H62" s="25"/>
      <c r="I62" s="27"/>
    </row>
    <row r="63">
      <c r="B63" s="71" t="s">
        <v>106</v>
      </c>
      <c r="C63" s="72" t="s">
        <v>11</v>
      </c>
      <c r="D63" s="72"/>
      <c r="E63" s="72">
        <v>65.0</v>
      </c>
      <c r="F63" s="72" t="b">
        <v>1</v>
      </c>
      <c r="G63" s="72">
        <v>104.0</v>
      </c>
      <c r="H63" s="72"/>
      <c r="I63" s="73"/>
    </row>
    <row r="64">
      <c r="B64" s="80"/>
      <c r="C64" s="25" t="s">
        <v>247</v>
      </c>
      <c r="D64" s="25"/>
      <c r="E64" s="25">
        <v>65.0</v>
      </c>
      <c r="F64" s="25" t="b">
        <v>1</v>
      </c>
      <c r="G64" s="25">
        <v>105.0</v>
      </c>
      <c r="H64" s="25"/>
      <c r="I64" s="27"/>
    </row>
    <row r="65">
      <c r="B65" s="80"/>
      <c r="C65" s="25" t="s">
        <v>17</v>
      </c>
      <c r="D65" s="25"/>
      <c r="E65" s="25">
        <v>65.0</v>
      </c>
      <c r="F65" s="25" t="b">
        <v>1</v>
      </c>
      <c r="G65" s="25">
        <v>106.0</v>
      </c>
      <c r="H65" s="25"/>
      <c r="I65" s="27"/>
    </row>
    <row r="66">
      <c r="B66" s="80"/>
      <c r="C66" s="25" t="s">
        <v>236</v>
      </c>
      <c r="D66" s="25" t="s">
        <v>234</v>
      </c>
      <c r="E66" s="25">
        <v>66.0</v>
      </c>
      <c r="F66" s="25" t="b">
        <v>1</v>
      </c>
      <c r="G66" s="25">
        <v>107.0</v>
      </c>
      <c r="H66" s="25"/>
      <c r="I66" s="27"/>
    </row>
    <row r="67">
      <c r="B67" s="71" t="s">
        <v>108</v>
      </c>
      <c r="C67" s="72" t="s">
        <v>238</v>
      </c>
      <c r="D67" s="72"/>
      <c r="E67" s="72">
        <v>67.0</v>
      </c>
      <c r="F67" s="72"/>
      <c r="G67" s="72">
        <v>108.0</v>
      </c>
      <c r="H67" s="72"/>
      <c r="I67" s="73"/>
    </row>
    <row r="68">
      <c r="B68" s="71" t="s">
        <v>110</v>
      </c>
      <c r="C68" s="72" t="s">
        <v>250</v>
      </c>
      <c r="D68" s="72"/>
      <c r="E68" s="72">
        <v>68.0</v>
      </c>
      <c r="F68" s="72"/>
      <c r="G68" s="72">
        <v>109.0</v>
      </c>
      <c r="H68" s="72"/>
      <c r="I68" s="73"/>
    </row>
    <row r="69">
      <c r="B69" s="82"/>
      <c r="C69" s="83" t="s">
        <v>252</v>
      </c>
      <c r="D69" s="83" t="s">
        <v>234</v>
      </c>
      <c r="E69" s="83">
        <v>69.0</v>
      </c>
      <c r="F69" s="83"/>
      <c r="G69" s="83">
        <v>110.0</v>
      </c>
      <c r="H69" s="83"/>
      <c r="I69" s="84"/>
    </row>
    <row r="70">
      <c r="B70" s="24" t="s">
        <v>46</v>
      </c>
      <c r="C70" s="25" t="s">
        <v>238</v>
      </c>
      <c r="D70" s="25"/>
      <c r="E70" s="25">
        <v>70.0</v>
      </c>
      <c r="F70" s="25"/>
      <c r="G70" s="25">
        <v>111.0</v>
      </c>
      <c r="H70" s="25"/>
      <c r="I70" s="27"/>
    </row>
    <row r="71">
      <c r="B71" s="71" t="s">
        <v>111</v>
      </c>
      <c r="C71" s="72" t="s">
        <v>238</v>
      </c>
      <c r="D71" s="72"/>
      <c r="E71" s="72">
        <v>71.0</v>
      </c>
      <c r="F71" s="72"/>
      <c r="G71" s="72">
        <v>112.0</v>
      </c>
      <c r="H71" s="72"/>
      <c r="I71" s="73"/>
    </row>
    <row r="72">
      <c r="B72" s="71" t="s">
        <v>253</v>
      </c>
      <c r="C72" s="72" t="s">
        <v>254</v>
      </c>
      <c r="D72" s="72"/>
      <c r="E72" s="72">
        <v>72.0</v>
      </c>
      <c r="F72" s="72"/>
      <c r="G72" s="72">
        <v>113.0</v>
      </c>
      <c r="H72" s="72"/>
      <c r="I72" s="73"/>
    </row>
    <row r="73">
      <c r="B73" s="80"/>
      <c r="C73" s="25" t="s">
        <v>255</v>
      </c>
      <c r="D73" s="25"/>
      <c r="E73" s="25">
        <v>73.0</v>
      </c>
      <c r="F73" s="25"/>
      <c r="G73" s="25">
        <v>114.0</v>
      </c>
      <c r="H73" s="25"/>
      <c r="I73" s="27"/>
    </row>
    <row r="74">
      <c r="B74" s="80"/>
      <c r="C74" s="25" t="s">
        <v>256</v>
      </c>
      <c r="D74" s="25"/>
      <c r="E74" s="25">
        <v>74.0</v>
      </c>
      <c r="F74" s="25"/>
      <c r="G74" s="25">
        <v>115.0</v>
      </c>
      <c r="H74" s="25"/>
      <c r="I74" s="27"/>
    </row>
    <row r="75">
      <c r="B75" s="71" t="s">
        <v>114</v>
      </c>
      <c r="C75" s="72" t="s">
        <v>238</v>
      </c>
      <c r="D75" s="72"/>
      <c r="E75" s="72">
        <v>75.0</v>
      </c>
      <c r="F75" s="72"/>
      <c r="G75" s="72">
        <v>116.0</v>
      </c>
      <c r="H75" s="72"/>
      <c r="I75" s="73"/>
    </row>
    <row r="76">
      <c r="B76" s="71" t="s">
        <v>257</v>
      </c>
      <c r="C76" s="72" t="s">
        <v>258</v>
      </c>
      <c r="D76" s="72"/>
      <c r="E76" s="72">
        <v>76.0</v>
      </c>
      <c r="F76" s="72"/>
      <c r="G76" s="72">
        <v>117.0</v>
      </c>
      <c r="H76" s="72"/>
      <c r="I76" s="73"/>
    </row>
    <row r="77">
      <c r="B77" s="82"/>
      <c r="C77" s="83" t="s">
        <v>259</v>
      </c>
      <c r="D77" s="83" t="s">
        <v>234</v>
      </c>
      <c r="E77" s="83">
        <v>77.0</v>
      </c>
      <c r="F77" s="83"/>
      <c r="G77" s="83">
        <v>118.0</v>
      </c>
      <c r="H77" s="83"/>
      <c r="I77" s="84"/>
    </row>
    <row r="78">
      <c r="B78" s="71" t="s">
        <v>120</v>
      </c>
      <c r="C78" s="72" t="s">
        <v>11</v>
      </c>
      <c r="D78" s="72"/>
      <c r="E78" s="72">
        <v>78.0</v>
      </c>
      <c r="F78" s="72" t="b">
        <v>1</v>
      </c>
      <c r="G78" s="72">
        <v>119.0</v>
      </c>
      <c r="H78" s="72"/>
      <c r="I78" s="73"/>
    </row>
    <row r="79">
      <c r="B79" s="80"/>
      <c r="C79" s="25" t="s">
        <v>247</v>
      </c>
      <c r="D79" s="25"/>
      <c r="E79" s="25">
        <v>78.0</v>
      </c>
      <c r="F79" s="25" t="b">
        <v>1</v>
      </c>
      <c r="G79" s="25">
        <v>120.0</v>
      </c>
      <c r="H79" s="25"/>
      <c r="I79" s="27"/>
    </row>
    <row r="80">
      <c r="B80" s="71" t="s">
        <v>260</v>
      </c>
      <c r="C80" s="72" t="s">
        <v>254</v>
      </c>
      <c r="D80" s="72"/>
      <c r="E80" s="72">
        <v>79.0</v>
      </c>
      <c r="F80" s="72"/>
      <c r="G80" s="72">
        <v>121.0</v>
      </c>
      <c r="H80" s="72"/>
      <c r="I80" s="73"/>
    </row>
    <row r="81">
      <c r="B81" s="80"/>
      <c r="C81" s="25" t="s">
        <v>255</v>
      </c>
      <c r="D81" s="25"/>
      <c r="E81" s="25">
        <v>80.0</v>
      </c>
      <c r="F81" s="25"/>
      <c r="G81" s="25">
        <v>122.0</v>
      </c>
      <c r="H81" s="25"/>
      <c r="I81" s="27"/>
    </row>
    <row r="82">
      <c r="B82" s="80"/>
      <c r="C82" s="25" t="s">
        <v>123</v>
      </c>
      <c r="D82" s="25" t="s">
        <v>234</v>
      </c>
      <c r="E82" s="25">
        <v>81.0</v>
      </c>
      <c r="F82" s="25"/>
      <c r="G82" s="25">
        <v>123.0</v>
      </c>
      <c r="H82" s="25"/>
      <c r="I82" s="27"/>
    </row>
    <row r="83">
      <c r="B83" s="80"/>
      <c r="C83" s="25" t="s">
        <v>261</v>
      </c>
      <c r="D83" s="25"/>
      <c r="E83" s="25">
        <v>82.0</v>
      </c>
      <c r="F83" s="25"/>
      <c r="G83" s="25">
        <v>124.0</v>
      </c>
      <c r="H83" s="25"/>
      <c r="I83" s="27"/>
    </row>
    <row r="84">
      <c r="B84" s="71" t="s">
        <v>262</v>
      </c>
      <c r="C84" s="72" t="s">
        <v>250</v>
      </c>
      <c r="D84" s="72"/>
      <c r="E84" s="72">
        <v>83.0</v>
      </c>
      <c r="F84" s="72"/>
      <c r="G84" s="72">
        <v>125.0</v>
      </c>
      <c r="H84" s="72"/>
      <c r="I84" s="73"/>
    </row>
    <row r="85">
      <c r="B85" s="82"/>
      <c r="C85" s="83" t="s">
        <v>263</v>
      </c>
      <c r="D85" s="83" t="s">
        <v>234</v>
      </c>
      <c r="E85" s="83">
        <v>84.0</v>
      </c>
      <c r="F85" s="83"/>
      <c r="G85" s="83">
        <v>126.0</v>
      </c>
      <c r="H85" s="83"/>
      <c r="I85" s="84"/>
    </row>
    <row r="86">
      <c r="B86" s="80"/>
      <c r="C86" s="29"/>
      <c r="D86" s="25"/>
      <c r="E86" s="25"/>
      <c r="F86" s="25"/>
      <c r="G86" s="25"/>
      <c r="H86" s="25"/>
      <c r="I86" s="27"/>
    </row>
    <row r="87">
      <c r="B87" s="80"/>
      <c r="C87" s="29"/>
      <c r="D87" s="25"/>
      <c r="E87" s="25"/>
      <c r="F87" s="25"/>
      <c r="G87" s="25"/>
      <c r="H87" s="25"/>
      <c r="I87" s="27"/>
    </row>
    <row r="88">
      <c r="B88" s="80"/>
      <c r="C88" s="29"/>
      <c r="D88" s="25"/>
      <c r="E88" s="25"/>
      <c r="F88" s="25"/>
      <c r="G88" s="25"/>
      <c r="H88" s="25"/>
      <c r="I88" s="27"/>
    </row>
    <row r="89">
      <c r="B89" s="80"/>
      <c r="C89" s="29"/>
      <c r="D89" s="25"/>
      <c r="E89" s="25"/>
      <c r="F89" s="25"/>
      <c r="G89" s="25"/>
      <c r="H89" s="25"/>
      <c r="I89" s="27"/>
    </row>
    <row r="90">
      <c r="B90" s="80"/>
      <c r="C90" s="29"/>
      <c r="D90" s="25"/>
      <c r="E90" s="25"/>
      <c r="F90" s="25"/>
      <c r="G90" s="25"/>
      <c r="H90" s="25"/>
      <c r="I90" s="27"/>
    </row>
    <row r="91">
      <c r="B91" s="80"/>
      <c r="C91" s="29"/>
      <c r="D91" s="25"/>
      <c r="E91" s="25"/>
      <c r="F91" s="25"/>
      <c r="G91" s="25"/>
      <c r="H91" s="25"/>
      <c r="I91" s="27"/>
    </row>
    <row r="92">
      <c r="B92" s="80"/>
      <c r="C92" s="29"/>
      <c r="D92" s="25"/>
      <c r="E92" s="25"/>
      <c r="F92" s="25"/>
      <c r="G92" s="25"/>
      <c r="H92" s="25"/>
      <c r="I92" s="27"/>
    </row>
    <row r="93">
      <c r="B93" s="80"/>
      <c r="C93" s="29"/>
      <c r="D93" s="25"/>
      <c r="E93" s="25"/>
      <c r="F93" s="25"/>
      <c r="G93" s="25"/>
      <c r="H93" s="25"/>
      <c r="I93" s="27"/>
    </row>
    <row r="94">
      <c r="B94" s="80"/>
      <c r="C94" s="29"/>
      <c r="D94" s="25"/>
      <c r="E94" s="25"/>
      <c r="F94" s="25"/>
      <c r="G94" s="25"/>
      <c r="H94" s="25"/>
      <c r="I94" s="27"/>
    </row>
    <row r="95">
      <c r="B95" s="80"/>
      <c r="C95" s="29"/>
      <c r="D95" s="25"/>
      <c r="E95" s="25"/>
      <c r="F95" s="25"/>
      <c r="G95" s="25"/>
      <c r="H95" s="25"/>
      <c r="I95" s="27"/>
    </row>
    <row r="96">
      <c r="B96" s="80"/>
      <c r="C96" s="29"/>
      <c r="D96" s="25"/>
      <c r="E96" s="25"/>
      <c r="F96" s="25"/>
      <c r="G96" s="25"/>
      <c r="H96" s="25"/>
      <c r="I96" s="27"/>
    </row>
    <row r="97">
      <c r="B97" s="80"/>
      <c r="C97" s="29"/>
      <c r="D97" s="25"/>
      <c r="E97" s="25"/>
      <c r="F97" s="25"/>
      <c r="G97" s="25"/>
      <c r="H97" s="25"/>
      <c r="I97" s="27"/>
    </row>
    <row r="98">
      <c r="B98" s="80"/>
      <c r="C98" s="29"/>
      <c r="D98" s="25"/>
      <c r="E98" s="25"/>
      <c r="F98" s="25"/>
      <c r="G98" s="25"/>
      <c r="H98" s="25"/>
      <c r="I98" s="27"/>
    </row>
    <row r="99">
      <c r="B99" s="80"/>
      <c r="C99" s="29"/>
      <c r="D99" s="25"/>
      <c r="E99" s="25"/>
      <c r="F99" s="25"/>
      <c r="G99" s="25"/>
      <c r="H99" s="25"/>
      <c r="I99" s="27"/>
    </row>
    <row r="100">
      <c r="B100" s="80"/>
      <c r="C100" s="29"/>
      <c r="D100" s="25"/>
      <c r="E100" s="25"/>
      <c r="F100" s="25"/>
      <c r="G100" s="25"/>
      <c r="H100" s="25"/>
      <c r="I100" s="27"/>
    </row>
    <row r="101">
      <c r="B101" s="80"/>
      <c r="C101" s="29"/>
      <c r="D101" s="25"/>
      <c r="E101" s="25"/>
      <c r="F101" s="25"/>
      <c r="G101" s="25"/>
      <c r="H101" s="25"/>
      <c r="I101" s="27"/>
    </row>
    <row r="102">
      <c r="B102" s="80"/>
      <c r="C102" s="29"/>
      <c r="D102" s="25"/>
      <c r="E102" s="25"/>
      <c r="F102" s="25"/>
      <c r="G102" s="25"/>
      <c r="H102" s="25"/>
      <c r="I102" s="27"/>
    </row>
    <row r="103">
      <c r="B103" s="80"/>
      <c r="C103" s="29"/>
      <c r="D103" s="25"/>
      <c r="E103" s="25"/>
      <c r="F103" s="25"/>
      <c r="G103" s="25"/>
      <c r="H103" s="25"/>
      <c r="I103" s="27"/>
    </row>
    <row r="104">
      <c r="B104" s="80"/>
      <c r="C104" s="29"/>
      <c r="D104" s="25"/>
      <c r="E104" s="25"/>
      <c r="F104" s="25"/>
      <c r="G104" s="25"/>
      <c r="H104" s="25"/>
      <c r="I104" s="27"/>
    </row>
    <row r="105">
      <c r="B105" s="80"/>
      <c r="C105" s="29"/>
      <c r="D105" s="25"/>
      <c r="E105" s="25"/>
      <c r="F105" s="25"/>
      <c r="G105" s="25"/>
      <c r="H105" s="25"/>
      <c r="I105" s="27"/>
    </row>
    <row r="106">
      <c r="B106" s="80"/>
      <c r="C106" s="29"/>
      <c r="D106" s="25"/>
      <c r="E106" s="25"/>
      <c r="F106" s="25"/>
      <c r="G106" s="25"/>
      <c r="H106" s="25"/>
      <c r="I106" s="27"/>
    </row>
    <row r="107">
      <c r="B107" s="80"/>
      <c r="C107" s="29"/>
      <c r="D107" s="25"/>
      <c r="E107" s="25"/>
      <c r="F107" s="25"/>
      <c r="G107" s="25"/>
      <c r="H107" s="25"/>
      <c r="I107" s="27"/>
    </row>
    <row r="108">
      <c r="B108" s="80"/>
      <c r="C108" s="29"/>
      <c r="D108" s="25"/>
      <c r="E108" s="25"/>
      <c r="F108" s="25"/>
      <c r="G108" s="25"/>
      <c r="H108" s="25"/>
      <c r="I108" s="27"/>
    </row>
    <row r="109">
      <c r="B109" s="80"/>
      <c r="C109" s="29"/>
      <c r="D109" s="25"/>
      <c r="E109" s="25"/>
      <c r="F109" s="25"/>
      <c r="G109" s="25"/>
      <c r="H109" s="25"/>
      <c r="I109" s="27"/>
    </row>
    <row r="110">
      <c r="B110" s="80"/>
      <c r="C110" s="29"/>
      <c r="D110" s="25"/>
      <c r="E110" s="25"/>
      <c r="F110" s="25"/>
      <c r="G110" s="25"/>
      <c r="H110" s="25"/>
      <c r="I110" s="27"/>
    </row>
    <row r="111">
      <c r="B111" s="80"/>
      <c r="C111" s="29"/>
      <c r="D111" s="25"/>
      <c r="E111" s="25"/>
      <c r="F111" s="25"/>
      <c r="G111" s="25"/>
      <c r="H111" s="25"/>
      <c r="I111" s="27"/>
    </row>
    <row r="112">
      <c r="B112" s="80"/>
      <c r="C112" s="29"/>
      <c r="D112" s="25"/>
      <c r="E112" s="25"/>
      <c r="F112" s="25"/>
      <c r="G112" s="25"/>
      <c r="H112" s="25"/>
      <c r="I112" s="27"/>
    </row>
    <row r="113">
      <c r="B113" s="80"/>
      <c r="C113" s="29"/>
      <c r="D113" s="25"/>
      <c r="E113" s="25"/>
      <c r="F113" s="25"/>
      <c r="G113" s="25"/>
      <c r="H113" s="25"/>
      <c r="I113" s="27"/>
    </row>
    <row r="114">
      <c r="B114" s="80"/>
      <c r="C114" s="29"/>
      <c r="D114" s="25"/>
      <c r="E114" s="25"/>
      <c r="F114" s="25"/>
      <c r="G114" s="25"/>
      <c r="H114" s="25"/>
      <c r="I114" s="27"/>
    </row>
    <row r="115">
      <c r="B115" s="80"/>
      <c r="C115" s="29"/>
      <c r="D115" s="25"/>
      <c r="E115" s="25"/>
      <c r="F115" s="25"/>
      <c r="G115" s="25"/>
      <c r="H115" s="25"/>
      <c r="I115" s="27"/>
    </row>
    <row r="116">
      <c r="B116" s="80"/>
      <c r="C116" s="29"/>
      <c r="D116" s="25"/>
      <c r="E116" s="25"/>
      <c r="F116" s="25"/>
      <c r="G116" s="25"/>
      <c r="H116" s="25"/>
      <c r="I116" s="27"/>
    </row>
    <row r="117">
      <c r="B117" s="80"/>
      <c r="C117" s="29"/>
      <c r="D117" s="25"/>
      <c r="E117" s="25"/>
      <c r="F117" s="25"/>
      <c r="G117" s="25"/>
      <c r="H117" s="25"/>
      <c r="I117" s="27"/>
    </row>
    <row r="118">
      <c r="B118" s="80"/>
      <c r="C118" s="29"/>
      <c r="D118" s="25"/>
      <c r="E118" s="25"/>
      <c r="F118" s="25"/>
      <c r="G118" s="25"/>
      <c r="H118" s="25"/>
      <c r="I118" s="27"/>
    </row>
    <row r="119">
      <c r="B119" s="80"/>
      <c r="C119" s="29"/>
      <c r="D119" s="25"/>
      <c r="E119" s="25"/>
      <c r="F119" s="25"/>
      <c r="G119" s="25"/>
      <c r="H119" s="25"/>
      <c r="I119" s="27"/>
    </row>
    <row r="120">
      <c r="B120" s="80"/>
      <c r="C120" s="29"/>
      <c r="D120" s="25"/>
      <c r="E120" s="25"/>
      <c r="F120" s="25"/>
      <c r="G120" s="25"/>
      <c r="H120" s="25"/>
      <c r="I120" s="27"/>
    </row>
    <row r="121">
      <c r="B121" s="80"/>
      <c r="C121" s="29"/>
      <c r="D121" s="25"/>
      <c r="E121" s="25"/>
      <c r="F121" s="25"/>
      <c r="G121" s="25"/>
      <c r="H121" s="25"/>
      <c r="I121" s="27"/>
    </row>
    <row r="122">
      <c r="B122" s="80"/>
      <c r="C122" s="29"/>
      <c r="D122" s="25"/>
      <c r="E122" s="25"/>
      <c r="F122" s="25"/>
      <c r="G122" s="25"/>
      <c r="H122" s="25"/>
      <c r="I122" s="27"/>
    </row>
    <row r="123">
      <c r="B123" s="80"/>
      <c r="C123" s="29"/>
      <c r="D123" s="25"/>
      <c r="E123" s="25"/>
      <c r="F123" s="25"/>
      <c r="G123" s="25"/>
      <c r="H123" s="25"/>
      <c r="I123" s="27"/>
    </row>
    <row r="124">
      <c r="B124" s="80"/>
      <c r="C124" s="29"/>
      <c r="D124" s="25"/>
      <c r="E124" s="25"/>
      <c r="F124" s="25"/>
      <c r="G124" s="25"/>
      <c r="H124" s="25"/>
      <c r="I124" s="27"/>
    </row>
    <row r="125">
      <c r="B125" s="80"/>
      <c r="C125" s="29"/>
      <c r="D125" s="25"/>
      <c r="E125" s="25"/>
      <c r="F125" s="25"/>
      <c r="G125" s="25"/>
      <c r="H125" s="25"/>
      <c r="I125" s="27"/>
    </row>
    <row r="126">
      <c r="B126" s="80"/>
      <c r="C126" s="29"/>
      <c r="D126" s="25"/>
      <c r="E126" s="25"/>
      <c r="F126" s="25"/>
      <c r="G126" s="25"/>
      <c r="H126" s="25"/>
      <c r="I126" s="27"/>
    </row>
    <row r="127">
      <c r="B127" s="80"/>
      <c r="C127" s="29"/>
      <c r="D127" s="25"/>
      <c r="E127" s="25"/>
      <c r="F127" s="25"/>
      <c r="G127" s="25"/>
      <c r="H127" s="25"/>
      <c r="I127" s="27"/>
    </row>
    <row r="128">
      <c r="B128" s="80"/>
      <c r="C128" s="29"/>
      <c r="D128" s="25"/>
      <c r="E128" s="25"/>
      <c r="F128" s="25"/>
      <c r="G128" s="25"/>
      <c r="H128" s="25"/>
      <c r="I128" s="27"/>
    </row>
    <row r="129">
      <c r="B129" s="80"/>
      <c r="C129" s="29"/>
      <c r="D129" s="25"/>
      <c r="E129" s="25"/>
      <c r="F129" s="25"/>
      <c r="G129" s="25"/>
      <c r="H129" s="25"/>
      <c r="I129" s="27"/>
    </row>
    <row r="130">
      <c r="B130" s="80"/>
      <c r="C130" s="29"/>
      <c r="D130" s="25"/>
      <c r="E130" s="25"/>
      <c r="F130" s="25"/>
      <c r="G130" s="25"/>
      <c r="H130" s="25"/>
      <c r="I130" s="27"/>
    </row>
    <row r="131">
      <c r="B131" s="80"/>
      <c r="C131" s="29"/>
      <c r="D131" s="25"/>
      <c r="E131" s="25"/>
      <c r="F131" s="25"/>
      <c r="G131" s="25"/>
      <c r="H131" s="25"/>
      <c r="I131" s="27"/>
    </row>
    <row r="132">
      <c r="B132" s="80"/>
      <c r="C132" s="29"/>
      <c r="D132" s="25"/>
      <c r="E132" s="25"/>
      <c r="F132" s="25"/>
      <c r="G132" s="25"/>
      <c r="H132" s="25"/>
      <c r="I132" s="27"/>
    </row>
    <row r="133">
      <c r="B133" s="80"/>
      <c r="C133" s="29"/>
      <c r="D133" s="25"/>
      <c r="E133" s="25"/>
      <c r="F133" s="25"/>
      <c r="G133" s="25"/>
      <c r="H133" s="25"/>
      <c r="I133" s="27"/>
    </row>
    <row r="134">
      <c r="B134" s="80"/>
      <c r="C134" s="29"/>
      <c r="D134" s="25"/>
      <c r="E134" s="25"/>
      <c r="F134" s="25"/>
      <c r="G134" s="25"/>
      <c r="H134" s="25"/>
      <c r="I134" s="27"/>
    </row>
    <row r="135">
      <c r="B135" s="80"/>
      <c r="C135" s="29"/>
      <c r="D135" s="25"/>
      <c r="E135" s="25"/>
      <c r="F135" s="25"/>
      <c r="G135" s="25"/>
      <c r="H135" s="25"/>
      <c r="I135" s="27"/>
    </row>
    <row r="136">
      <c r="B136" s="80"/>
      <c r="C136" s="29"/>
      <c r="D136" s="25"/>
      <c r="E136" s="25"/>
      <c r="F136" s="25"/>
      <c r="G136" s="25"/>
      <c r="H136" s="25"/>
      <c r="I136" s="27"/>
    </row>
    <row r="137">
      <c r="B137" s="80"/>
      <c r="C137" s="29"/>
      <c r="D137" s="25"/>
      <c r="E137" s="25"/>
      <c r="F137" s="25"/>
      <c r="G137" s="25"/>
      <c r="H137" s="25"/>
      <c r="I137" s="27"/>
    </row>
    <row r="138">
      <c r="B138" s="80"/>
      <c r="C138" s="29"/>
      <c r="D138" s="25"/>
      <c r="E138" s="25"/>
      <c r="F138" s="25"/>
      <c r="G138" s="25"/>
      <c r="H138" s="25"/>
      <c r="I138" s="27"/>
    </row>
    <row r="139">
      <c r="B139" s="80"/>
      <c r="C139" s="29"/>
      <c r="D139" s="25"/>
      <c r="E139" s="25"/>
      <c r="F139" s="25"/>
      <c r="G139" s="25"/>
      <c r="H139" s="25"/>
      <c r="I139" s="27"/>
    </row>
    <row r="140">
      <c r="B140" s="80"/>
      <c r="C140" s="29"/>
      <c r="D140" s="25"/>
      <c r="E140" s="25"/>
      <c r="F140" s="25"/>
      <c r="G140" s="25"/>
      <c r="H140" s="25"/>
      <c r="I140" s="27"/>
    </row>
    <row r="141">
      <c r="B141" s="80"/>
      <c r="C141" s="29"/>
      <c r="D141" s="25"/>
      <c r="E141" s="25"/>
      <c r="F141" s="25"/>
      <c r="G141" s="25"/>
      <c r="H141" s="25"/>
      <c r="I141" s="27"/>
    </row>
    <row r="142">
      <c r="B142" s="80"/>
      <c r="C142" s="29"/>
      <c r="D142" s="25"/>
      <c r="E142" s="25"/>
      <c r="F142" s="25"/>
      <c r="G142" s="25"/>
      <c r="H142" s="25"/>
      <c r="I142" s="27"/>
    </row>
    <row r="143">
      <c r="B143" s="80"/>
      <c r="C143" s="29"/>
      <c r="D143" s="25"/>
      <c r="E143" s="25"/>
      <c r="F143" s="25"/>
      <c r="G143" s="25"/>
      <c r="H143" s="25"/>
      <c r="I143" s="27"/>
    </row>
    <row r="144">
      <c r="B144" s="80"/>
      <c r="C144" s="29"/>
      <c r="D144" s="25"/>
      <c r="E144" s="25"/>
      <c r="F144" s="25"/>
      <c r="G144" s="25"/>
      <c r="H144" s="25"/>
      <c r="I144" s="27"/>
    </row>
    <row r="145">
      <c r="B145" s="80"/>
      <c r="C145" s="29"/>
      <c r="D145" s="25"/>
      <c r="E145" s="25"/>
      <c r="F145" s="25"/>
      <c r="G145" s="25"/>
      <c r="H145" s="25"/>
      <c r="I145" s="27"/>
    </row>
    <row r="146">
      <c r="B146" s="80"/>
      <c r="C146" s="29"/>
      <c r="D146" s="25"/>
      <c r="E146" s="25"/>
      <c r="F146" s="25"/>
      <c r="G146" s="25"/>
      <c r="H146" s="25"/>
      <c r="I146" s="27"/>
    </row>
    <row r="147">
      <c r="B147" s="80"/>
      <c r="C147" s="29"/>
      <c r="D147" s="25"/>
      <c r="E147" s="25"/>
      <c r="F147" s="25"/>
      <c r="G147" s="25"/>
      <c r="H147" s="25"/>
      <c r="I147" s="27"/>
    </row>
    <row r="148">
      <c r="B148" s="80"/>
      <c r="C148" s="29"/>
      <c r="D148" s="25"/>
      <c r="E148" s="25"/>
      <c r="F148" s="25"/>
      <c r="G148" s="25"/>
      <c r="H148" s="25"/>
      <c r="I148" s="27"/>
    </row>
    <row r="149">
      <c r="B149" s="80"/>
      <c r="C149" s="29"/>
      <c r="D149" s="25"/>
      <c r="E149" s="25"/>
      <c r="F149" s="25"/>
      <c r="G149" s="25"/>
      <c r="H149" s="25"/>
      <c r="I149" s="27"/>
    </row>
    <row r="150">
      <c r="B150" s="80"/>
      <c r="C150" s="29"/>
      <c r="D150" s="25"/>
      <c r="E150" s="25"/>
      <c r="F150" s="25"/>
      <c r="G150" s="25"/>
      <c r="H150" s="25"/>
      <c r="I150" s="27"/>
    </row>
    <row r="151">
      <c r="B151" s="80"/>
      <c r="C151" s="29"/>
      <c r="D151" s="25"/>
      <c r="E151" s="25"/>
      <c r="F151" s="25"/>
      <c r="G151" s="25"/>
      <c r="H151" s="25"/>
      <c r="I151" s="27"/>
    </row>
    <row r="152">
      <c r="B152" s="80"/>
      <c r="C152" s="29"/>
      <c r="D152" s="25"/>
      <c r="E152" s="25"/>
      <c r="F152" s="25"/>
      <c r="G152" s="25"/>
      <c r="H152" s="25"/>
      <c r="I152" s="27"/>
    </row>
    <row r="153">
      <c r="B153" s="80"/>
      <c r="C153" s="29"/>
      <c r="D153" s="25"/>
      <c r="E153" s="25"/>
      <c r="F153" s="25"/>
      <c r="G153" s="25"/>
      <c r="H153" s="25"/>
      <c r="I153" s="27"/>
    </row>
    <row r="154">
      <c r="B154" s="80"/>
      <c r="C154" s="29"/>
      <c r="D154" s="25"/>
      <c r="E154" s="25"/>
      <c r="F154" s="25"/>
      <c r="G154" s="25"/>
      <c r="H154" s="25"/>
      <c r="I154" s="27"/>
    </row>
    <row r="155">
      <c r="B155" s="80"/>
      <c r="C155" s="29"/>
      <c r="D155" s="25"/>
      <c r="E155" s="25"/>
      <c r="F155" s="25"/>
      <c r="G155" s="25"/>
      <c r="H155" s="25"/>
      <c r="I155" s="27"/>
    </row>
    <row r="156">
      <c r="B156" s="80"/>
      <c r="C156" s="29"/>
      <c r="D156" s="25"/>
      <c r="E156" s="25"/>
      <c r="F156" s="25"/>
      <c r="G156" s="25"/>
      <c r="H156" s="25"/>
      <c r="I156" s="27"/>
    </row>
    <row r="157">
      <c r="B157" s="80"/>
      <c r="C157" s="29"/>
      <c r="D157" s="25"/>
      <c r="E157" s="25"/>
      <c r="F157" s="25"/>
      <c r="G157" s="25"/>
      <c r="H157" s="25"/>
      <c r="I157" s="27"/>
    </row>
    <row r="158">
      <c r="B158" s="80"/>
      <c r="C158" s="29"/>
      <c r="D158" s="25"/>
      <c r="E158" s="25"/>
      <c r="F158" s="25"/>
      <c r="G158" s="25"/>
      <c r="H158" s="25"/>
      <c r="I158" s="27"/>
    </row>
    <row r="159">
      <c r="B159" s="80"/>
      <c r="C159" s="29"/>
      <c r="D159" s="25"/>
      <c r="E159" s="25"/>
      <c r="F159" s="25"/>
      <c r="G159" s="25"/>
      <c r="H159" s="25"/>
      <c r="I159" s="27"/>
    </row>
    <row r="160">
      <c r="B160" s="80"/>
      <c r="C160" s="29"/>
      <c r="D160" s="25"/>
      <c r="E160" s="25"/>
      <c r="F160" s="25"/>
      <c r="G160" s="25"/>
      <c r="H160" s="25"/>
      <c r="I160" s="27"/>
    </row>
    <row r="161">
      <c r="B161" s="80"/>
      <c r="C161" s="29"/>
      <c r="D161" s="25"/>
      <c r="E161" s="25"/>
      <c r="F161" s="25"/>
      <c r="G161" s="25"/>
      <c r="H161" s="25"/>
      <c r="I161" s="27"/>
    </row>
    <row r="162">
      <c r="B162" s="85"/>
      <c r="C162" s="47"/>
      <c r="D162" s="39"/>
      <c r="E162" s="39"/>
      <c r="F162" s="39"/>
      <c r="G162" s="39"/>
      <c r="H162" s="39"/>
      <c r="I162" s="41"/>
    </row>
  </sheetData>
  <mergeCells count="2">
    <mergeCell ref="B3:I4"/>
    <mergeCell ref="K3:N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9.38"/>
    <col customWidth="1" min="3" max="3" width="16.13"/>
    <col customWidth="1" min="4" max="4" width="12.38"/>
    <col customWidth="1" min="5" max="5" width="26.63"/>
    <col customWidth="1" min="6" max="7" width="25.13"/>
    <col customWidth="1" min="8" max="12" width="19.38"/>
    <col customWidth="1" min="13" max="38" width="11.5"/>
    <col customWidth="1" min="39" max="42" width="7.63"/>
  </cols>
  <sheetData>
    <row r="3">
      <c r="B3" s="58" t="s">
        <v>221</v>
      </c>
      <c r="C3" s="3"/>
      <c r="D3" s="3"/>
      <c r="E3" s="3"/>
      <c r="F3" s="3"/>
      <c r="G3" s="4"/>
      <c r="N3" s="26"/>
    </row>
    <row r="4">
      <c r="B4" s="60"/>
      <c r="C4" s="61"/>
      <c r="D4" s="61"/>
      <c r="E4" s="61"/>
      <c r="F4" s="61"/>
      <c r="G4" s="62"/>
      <c r="N4" s="26"/>
    </row>
    <row r="5">
      <c r="B5" s="63" t="s">
        <v>223</v>
      </c>
      <c r="C5" s="64" t="s">
        <v>224</v>
      </c>
      <c r="D5" s="64" t="s">
        <v>227</v>
      </c>
      <c r="E5" s="64" t="s">
        <v>264</v>
      </c>
      <c r="F5" s="64" t="s">
        <v>265</v>
      </c>
      <c r="G5" s="65" t="s">
        <v>266</v>
      </c>
      <c r="N5" s="26"/>
    </row>
    <row r="6">
      <c r="B6" s="71" t="s">
        <v>66</v>
      </c>
      <c r="C6" s="72" t="s">
        <v>231</v>
      </c>
      <c r="D6" s="72" t="b">
        <v>1</v>
      </c>
      <c r="E6" s="86" t="s">
        <v>267</v>
      </c>
      <c r="F6" s="87" t="s">
        <v>268</v>
      </c>
      <c r="G6" s="88" t="s">
        <v>234</v>
      </c>
      <c r="H6" s="26" t="s">
        <v>269</v>
      </c>
      <c r="N6" s="26"/>
    </row>
    <row r="7">
      <c r="B7" s="24"/>
      <c r="C7" s="25" t="s">
        <v>17</v>
      </c>
      <c r="D7" s="25" t="b">
        <v>1</v>
      </c>
      <c r="E7" s="89" t="s">
        <v>267</v>
      </c>
      <c r="F7" s="90" t="s">
        <v>234</v>
      </c>
      <c r="G7" s="88" t="s">
        <v>234</v>
      </c>
      <c r="H7" s="26" t="s">
        <v>270</v>
      </c>
      <c r="N7" s="26"/>
    </row>
    <row r="8">
      <c r="B8" s="71" t="s">
        <v>232</v>
      </c>
      <c r="C8" s="72" t="s">
        <v>11</v>
      </c>
      <c r="D8" s="72" t="b">
        <v>1</v>
      </c>
      <c r="E8" s="86" t="s">
        <v>267</v>
      </c>
      <c r="F8" s="91" t="s">
        <v>234</v>
      </c>
      <c r="G8" s="92" t="s">
        <v>234</v>
      </c>
      <c r="H8" s="26" t="s">
        <v>271</v>
      </c>
      <c r="N8" s="26"/>
    </row>
    <row r="9">
      <c r="B9" s="24"/>
      <c r="C9" s="25" t="s">
        <v>17</v>
      </c>
      <c r="D9" s="25" t="b">
        <v>1</v>
      </c>
      <c r="E9" s="89" t="s">
        <v>267</v>
      </c>
      <c r="F9" s="89" t="s">
        <v>267</v>
      </c>
      <c r="G9" s="88" t="s">
        <v>234</v>
      </c>
      <c r="N9" s="26"/>
    </row>
    <row r="10">
      <c r="B10" s="71" t="s">
        <v>51</v>
      </c>
      <c r="C10" s="72" t="s">
        <v>11</v>
      </c>
      <c r="D10" s="72" t="b">
        <v>1</v>
      </c>
      <c r="E10" s="86" t="s">
        <v>267</v>
      </c>
      <c r="F10" s="87" t="s">
        <v>268</v>
      </c>
      <c r="G10" s="92" t="s">
        <v>234</v>
      </c>
      <c r="H10" s="26" t="s">
        <v>272</v>
      </c>
      <c r="N10" s="26"/>
    </row>
    <row r="11">
      <c r="B11" s="24"/>
      <c r="C11" s="25" t="s">
        <v>17</v>
      </c>
      <c r="D11" s="25" t="b">
        <v>1</v>
      </c>
      <c r="E11" s="89" t="s">
        <v>267</v>
      </c>
      <c r="F11" s="89" t="s">
        <v>267</v>
      </c>
      <c r="G11" s="88" t="s">
        <v>234</v>
      </c>
      <c r="N11" s="26"/>
    </row>
    <row r="12">
      <c r="B12" s="24"/>
      <c r="C12" s="25" t="s">
        <v>233</v>
      </c>
      <c r="D12" s="25" t="b">
        <v>1</v>
      </c>
      <c r="E12" s="89" t="s">
        <v>267</v>
      </c>
      <c r="F12" s="89" t="s">
        <v>267</v>
      </c>
      <c r="G12" s="88" t="s">
        <v>234</v>
      </c>
      <c r="N12" s="26"/>
    </row>
    <row r="13">
      <c r="B13" s="71" t="s">
        <v>53</v>
      </c>
      <c r="C13" s="72" t="s">
        <v>11</v>
      </c>
      <c r="D13" s="72" t="b">
        <v>1</v>
      </c>
      <c r="E13" s="86" t="s">
        <v>267</v>
      </c>
      <c r="F13" s="86" t="s">
        <v>267</v>
      </c>
      <c r="G13" s="92" t="s">
        <v>234</v>
      </c>
      <c r="N13" s="26"/>
    </row>
    <row r="14">
      <c r="B14" s="24"/>
      <c r="C14" s="25" t="s">
        <v>273</v>
      </c>
      <c r="D14" s="25" t="b">
        <v>1</v>
      </c>
      <c r="E14" s="89" t="s">
        <v>267</v>
      </c>
      <c r="F14" s="89" t="s">
        <v>267</v>
      </c>
      <c r="G14" s="88" t="s">
        <v>234</v>
      </c>
    </row>
    <row r="15">
      <c r="B15" s="77" t="s">
        <v>56</v>
      </c>
      <c r="C15" s="78" t="s">
        <v>238</v>
      </c>
      <c r="D15" s="78" t="b">
        <v>0</v>
      </c>
      <c r="E15" s="93" t="s">
        <v>267</v>
      </c>
      <c r="F15" s="93" t="s">
        <v>267</v>
      </c>
      <c r="G15" s="94" t="s">
        <v>267</v>
      </c>
    </row>
    <row r="16">
      <c r="B16" s="77" t="s">
        <v>55</v>
      </c>
      <c r="C16" s="78" t="s">
        <v>238</v>
      </c>
      <c r="D16" s="78" t="b">
        <v>0</v>
      </c>
      <c r="E16" s="93" t="s">
        <v>267</v>
      </c>
      <c r="F16" s="95" t="s">
        <v>234</v>
      </c>
      <c r="G16" s="94" t="s">
        <v>267</v>
      </c>
      <c r="H16" s="26" t="s">
        <v>274</v>
      </c>
    </row>
    <row r="17">
      <c r="B17" s="96" t="s">
        <v>57</v>
      </c>
      <c r="C17" s="83" t="s">
        <v>238</v>
      </c>
      <c r="D17" s="83" t="b">
        <v>1</v>
      </c>
      <c r="E17" s="93" t="s">
        <v>267</v>
      </c>
      <c r="F17" s="93" t="s">
        <v>267</v>
      </c>
      <c r="G17" s="94" t="s">
        <v>267</v>
      </c>
    </row>
    <row r="18">
      <c r="B18" s="24" t="s">
        <v>158</v>
      </c>
      <c r="C18" s="25" t="s">
        <v>275</v>
      </c>
      <c r="D18" s="25" t="b">
        <v>1</v>
      </c>
      <c r="E18" s="89" t="s">
        <v>267</v>
      </c>
      <c r="F18" s="89" t="s">
        <v>267</v>
      </c>
      <c r="G18" s="97" t="s">
        <v>267</v>
      </c>
    </row>
    <row r="19">
      <c r="B19" s="24"/>
      <c r="C19" s="25" t="s">
        <v>276</v>
      </c>
      <c r="D19" s="25" t="b">
        <v>1</v>
      </c>
      <c r="E19" s="89" t="s">
        <v>267</v>
      </c>
      <c r="F19" s="89" t="s">
        <v>267</v>
      </c>
      <c r="G19" s="97" t="s">
        <v>267</v>
      </c>
    </row>
    <row r="20">
      <c r="B20" s="24"/>
      <c r="C20" s="25" t="s">
        <v>277</v>
      </c>
      <c r="D20" s="25" t="b">
        <v>1</v>
      </c>
      <c r="E20" s="89" t="s">
        <v>267</v>
      </c>
      <c r="F20" s="89" t="s">
        <v>267</v>
      </c>
      <c r="G20" s="97" t="s">
        <v>267</v>
      </c>
    </row>
    <row r="21">
      <c r="B21" s="71" t="s">
        <v>61</v>
      </c>
      <c r="C21" s="72" t="s">
        <v>238</v>
      </c>
      <c r="D21" s="72" t="b">
        <v>1</v>
      </c>
      <c r="E21" s="86" t="s">
        <v>267</v>
      </c>
      <c r="F21" s="87" t="s">
        <v>268</v>
      </c>
      <c r="G21" s="98" t="s">
        <v>267</v>
      </c>
      <c r="H21" s="26" t="s">
        <v>272</v>
      </c>
    </row>
    <row r="22">
      <c r="B22" s="71" t="s">
        <v>62</v>
      </c>
      <c r="C22" s="72" t="s">
        <v>32</v>
      </c>
      <c r="D22" s="72" t="b">
        <v>1</v>
      </c>
      <c r="E22" s="91" t="s">
        <v>234</v>
      </c>
      <c r="F22" s="91" t="s">
        <v>234</v>
      </c>
      <c r="G22" s="98" t="s">
        <v>267</v>
      </c>
      <c r="H22" s="26" t="s">
        <v>278</v>
      </c>
    </row>
    <row r="23">
      <c r="B23" s="80"/>
      <c r="C23" s="25" t="s">
        <v>17</v>
      </c>
      <c r="D23" s="25" t="b">
        <v>0</v>
      </c>
      <c r="E23" s="89" t="s">
        <v>267</v>
      </c>
      <c r="F23" s="89" t="s">
        <v>267</v>
      </c>
      <c r="G23" s="97" t="s">
        <v>267</v>
      </c>
    </row>
    <row r="24">
      <c r="B24" s="80"/>
      <c r="C24" s="25" t="s">
        <v>63</v>
      </c>
      <c r="D24" s="25" t="b">
        <v>0</v>
      </c>
      <c r="E24" s="89" t="s">
        <v>267</v>
      </c>
      <c r="F24" s="89" t="s">
        <v>267</v>
      </c>
      <c r="G24" s="97" t="s">
        <v>267</v>
      </c>
      <c r="H24" s="26" t="s">
        <v>279</v>
      </c>
    </row>
    <row r="25">
      <c r="B25" s="80"/>
      <c r="C25" s="25" t="s">
        <v>64</v>
      </c>
      <c r="D25" s="25" t="b">
        <v>0</v>
      </c>
      <c r="E25" s="89" t="s">
        <v>267</v>
      </c>
      <c r="F25" s="89" t="s">
        <v>267</v>
      </c>
      <c r="G25" s="97" t="s">
        <v>267</v>
      </c>
      <c r="H25" s="26" t="s">
        <v>279</v>
      </c>
    </row>
    <row r="26">
      <c r="B26" s="80"/>
      <c r="C26" s="25" t="s">
        <v>65</v>
      </c>
      <c r="D26" s="25" t="b">
        <v>0</v>
      </c>
      <c r="E26" s="89" t="s">
        <v>267</v>
      </c>
      <c r="F26" s="89" t="s">
        <v>267</v>
      </c>
      <c r="G26" s="97" t="s">
        <v>267</v>
      </c>
      <c r="H26" s="26" t="s">
        <v>279</v>
      </c>
    </row>
    <row r="27">
      <c r="B27" s="71" t="s">
        <v>67</v>
      </c>
      <c r="C27" s="72" t="s">
        <v>238</v>
      </c>
      <c r="D27" s="72" t="b">
        <v>1</v>
      </c>
      <c r="E27" s="86" t="s">
        <v>267</v>
      </c>
      <c r="F27" s="86" t="s">
        <v>267</v>
      </c>
      <c r="G27" s="92" t="s">
        <v>234</v>
      </c>
    </row>
    <row r="28">
      <c r="B28" s="71" t="s">
        <v>68</v>
      </c>
      <c r="C28" s="72" t="s">
        <v>238</v>
      </c>
      <c r="D28" s="72" t="b">
        <v>1</v>
      </c>
      <c r="E28" s="86" t="s">
        <v>267</v>
      </c>
      <c r="F28" s="86" t="s">
        <v>267</v>
      </c>
      <c r="G28" s="98" t="s">
        <v>267</v>
      </c>
    </row>
    <row r="29">
      <c r="B29" s="71" t="s">
        <v>69</v>
      </c>
      <c r="C29" s="72" t="s">
        <v>250</v>
      </c>
      <c r="D29" s="72" t="b">
        <v>0</v>
      </c>
      <c r="E29" s="86" t="s">
        <v>267</v>
      </c>
      <c r="F29" s="99" t="s">
        <v>267</v>
      </c>
      <c r="G29" s="98" t="s">
        <v>267</v>
      </c>
      <c r="H29" s="26" t="s">
        <v>280</v>
      </c>
    </row>
    <row r="30">
      <c r="B30" s="80"/>
      <c r="C30" s="25" t="s">
        <v>281</v>
      </c>
      <c r="D30" s="25" t="b">
        <v>0</v>
      </c>
      <c r="E30" s="89" t="s">
        <v>267</v>
      </c>
      <c r="F30" s="89" t="s">
        <v>267</v>
      </c>
      <c r="G30" s="97" t="s">
        <v>267</v>
      </c>
    </row>
    <row r="31">
      <c r="B31" s="71" t="s">
        <v>71</v>
      </c>
      <c r="C31" s="72" t="s">
        <v>250</v>
      </c>
      <c r="D31" s="72" t="b">
        <v>0</v>
      </c>
      <c r="E31" s="86" t="s">
        <v>267</v>
      </c>
      <c r="F31" s="86" t="s">
        <v>267</v>
      </c>
      <c r="G31" s="98" t="s">
        <v>267</v>
      </c>
    </row>
    <row r="32">
      <c r="B32" s="80"/>
      <c r="C32" s="25" t="s">
        <v>282</v>
      </c>
      <c r="D32" s="25" t="b">
        <v>0</v>
      </c>
      <c r="E32" s="89" t="s">
        <v>267</v>
      </c>
      <c r="F32" s="89" t="s">
        <v>267</v>
      </c>
      <c r="G32" s="97" t="s">
        <v>267</v>
      </c>
    </row>
    <row r="33">
      <c r="B33" s="71" t="s">
        <v>73</v>
      </c>
      <c r="C33" s="72" t="s">
        <v>241</v>
      </c>
      <c r="D33" s="72" t="b">
        <v>0</v>
      </c>
      <c r="E33" s="86" t="s">
        <v>267</v>
      </c>
      <c r="F33" s="86" t="s">
        <v>267</v>
      </c>
      <c r="G33" s="98" t="s">
        <v>267</v>
      </c>
    </row>
    <row r="34">
      <c r="B34" s="80"/>
      <c r="C34" s="25" t="s">
        <v>17</v>
      </c>
      <c r="D34" s="25" t="b">
        <v>0</v>
      </c>
      <c r="E34" s="89" t="s">
        <v>267</v>
      </c>
      <c r="F34" s="89" t="s">
        <v>267</v>
      </c>
      <c r="G34" s="97" t="s">
        <v>267</v>
      </c>
    </row>
    <row r="35">
      <c r="B35" s="71" t="s">
        <v>74</v>
      </c>
      <c r="C35" s="72" t="s">
        <v>238</v>
      </c>
      <c r="D35" s="72" t="b">
        <v>0</v>
      </c>
      <c r="E35" s="86" t="s">
        <v>267</v>
      </c>
      <c r="F35" s="86" t="s">
        <v>267</v>
      </c>
      <c r="G35" s="98" t="s">
        <v>267</v>
      </c>
    </row>
    <row r="36">
      <c r="B36" s="71" t="s">
        <v>165</v>
      </c>
      <c r="C36" s="72" t="s">
        <v>238</v>
      </c>
      <c r="D36" s="72" t="b">
        <v>1</v>
      </c>
      <c r="E36" s="86" t="s">
        <v>267</v>
      </c>
      <c r="F36" s="86" t="s">
        <v>267</v>
      </c>
      <c r="G36" s="100" t="s">
        <v>268</v>
      </c>
      <c r="H36" s="26" t="s">
        <v>283</v>
      </c>
    </row>
    <row r="37">
      <c r="B37" s="71" t="s">
        <v>242</v>
      </c>
      <c r="C37" s="72" t="s">
        <v>243</v>
      </c>
      <c r="D37" s="72" t="b">
        <v>0</v>
      </c>
      <c r="E37" s="86" t="s">
        <v>267</v>
      </c>
      <c r="F37" s="86" t="s">
        <v>267</v>
      </c>
      <c r="G37" s="92" t="s">
        <v>234</v>
      </c>
      <c r="H37" s="26" t="s">
        <v>284</v>
      </c>
    </row>
    <row r="38">
      <c r="B38" s="80"/>
      <c r="C38" s="25" t="s">
        <v>17</v>
      </c>
      <c r="D38" s="25" t="b">
        <v>0</v>
      </c>
      <c r="E38" s="89" t="s">
        <v>267</v>
      </c>
      <c r="F38" s="89" t="s">
        <v>267</v>
      </c>
      <c r="G38" s="97" t="s">
        <v>267</v>
      </c>
    </row>
    <row r="39">
      <c r="B39" s="80"/>
      <c r="C39" s="25" t="s">
        <v>285</v>
      </c>
      <c r="D39" s="25" t="b">
        <v>0</v>
      </c>
      <c r="E39" s="89" t="s">
        <v>267</v>
      </c>
      <c r="F39" s="89" t="s">
        <v>267</v>
      </c>
      <c r="G39" s="88" t="s">
        <v>234</v>
      </c>
      <c r="H39" s="26" t="s">
        <v>284</v>
      </c>
    </row>
    <row r="40">
      <c r="A40" s="18"/>
      <c r="B40" s="80"/>
      <c r="C40" s="25" t="s">
        <v>237</v>
      </c>
      <c r="D40" s="25" t="b">
        <v>0</v>
      </c>
      <c r="E40" s="89" t="s">
        <v>267</v>
      </c>
      <c r="F40" s="89" t="s">
        <v>267</v>
      </c>
      <c r="G40" s="97" t="s">
        <v>267</v>
      </c>
      <c r="AQ40" s="23"/>
    </row>
    <row r="41">
      <c r="B41" s="71" t="s">
        <v>246</v>
      </c>
      <c r="C41" s="72" t="s">
        <v>286</v>
      </c>
      <c r="D41" s="72" t="b">
        <v>1</v>
      </c>
      <c r="E41" s="86" t="s">
        <v>267</v>
      </c>
      <c r="F41" s="86" t="s">
        <v>267</v>
      </c>
      <c r="G41" s="98" t="s">
        <v>267</v>
      </c>
      <c r="H41" s="26" t="s">
        <v>287</v>
      </c>
    </row>
    <row r="42">
      <c r="B42" s="80"/>
      <c r="C42" s="25" t="s">
        <v>288</v>
      </c>
      <c r="D42" s="25" t="b">
        <v>1</v>
      </c>
      <c r="E42" s="89" t="s">
        <v>267</v>
      </c>
      <c r="F42" s="89" t="s">
        <v>267</v>
      </c>
      <c r="G42" s="97" t="s">
        <v>267</v>
      </c>
    </row>
    <row r="43">
      <c r="B43" s="80"/>
      <c r="C43" s="25" t="s">
        <v>289</v>
      </c>
      <c r="D43" s="25" t="b">
        <v>1</v>
      </c>
      <c r="E43" s="89" t="s">
        <v>267</v>
      </c>
      <c r="F43" s="89" t="s">
        <v>267</v>
      </c>
      <c r="G43" s="97" t="s">
        <v>267</v>
      </c>
    </row>
    <row r="44">
      <c r="B44" s="71" t="s">
        <v>82</v>
      </c>
      <c r="C44" s="72" t="s">
        <v>238</v>
      </c>
      <c r="D44" s="72" t="b">
        <v>1</v>
      </c>
      <c r="E44" s="86" t="s">
        <v>267</v>
      </c>
      <c r="F44" s="91" t="s">
        <v>234</v>
      </c>
      <c r="G44" s="98" t="s">
        <v>267</v>
      </c>
      <c r="H44" s="26" t="s">
        <v>290</v>
      </c>
    </row>
    <row r="45">
      <c r="B45" s="71" t="s">
        <v>83</v>
      </c>
      <c r="C45" s="72" t="s">
        <v>238</v>
      </c>
      <c r="D45" s="72" t="b">
        <v>0</v>
      </c>
      <c r="E45" s="86" t="s">
        <v>267</v>
      </c>
      <c r="F45" s="86" t="s">
        <v>267</v>
      </c>
      <c r="G45" s="98" t="s">
        <v>267</v>
      </c>
    </row>
    <row r="46">
      <c r="B46" s="77" t="s">
        <v>167</v>
      </c>
      <c r="C46" s="78" t="s">
        <v>238</v>
      </c>
      <c r="D46" s="78" t="b">
        <v>0</v>
      </c>
      <c r="E46" s="101" t="s">
        <v>268</v>
      </c>
      <c r="F46" s="101" t="s">
        <v>268</v>
      </c>
      <c r="G46" s="94" t="s">
        <v>267</v>
      </c>
      <c r="H46" s="26" t="s">
        <v>291</v>
      </c>
    </row>
    <row r="47">
      <c r="B47" s="71" t="s">
        <v>169</v>
      </c>
      <c r="C47" s="72" t="s">
        <v>292</v>
      </c>
      <c r="D47" s="72" t="b">
        <v>0</v>
      </c>
      <c r="E47" s="86" t="s">
        <v>267</v>
      </c>
      <c r="F47" s="87" t="s">
        <v>268</v>
      </c>
      <c r="G47" s="98" t="s">
        <v>267</v>
      </c>
      <c r="H47" s="26" t="s">
        <v>293</v>
      </c>
    </row>
    <row r="48">
      <c r="B48" s="80"/>
      <c r="C48" s="25" t="s">
        <v>294</v>
      </c>
      <c r="D48" s="25" t="b">
        <v>0</v>
      </c>
      <c r="E48" s="89" t="s">
        <v>267</v>
      </c>
      <c r="F48" s="89" t="s">
        <v>267</v>
      </c>
      <c r="G48" s="97" t="s">
        <v>267</v>
      </c>
    </row>
    <row r="49">
      <c r="B49" s="71" t="s">
        <v>87</v>
      </c>
      <c r="C49" s="72" t="s">
        <v>238</v>
      </c>
      <c r="D49" s="72" t="b">
        <v>0</v>
      </c>
      <c r="E49" s="86" t="s">
        <v>267</v>
      </c>
      <c r="F49" s="87" t="s">
        <v>268</v>
      </c>
      <c r="G49" s="98" t="s">
        <v>267</v>
      </c>
      <c r="H49" s="26" t="s">
        <v>295</v>
      </c>
    </row>
    <row r="50">
      <c r="B50" s="71" t="s">
        <v>88</v>
      </c>
      <c r="C50" s="72" t="s">
        <v>238</v>
      </c>
      <c r="D50" s="72" t="b">
        <v>0</v>
      </c>
      <c r="E50" s="91" t="s">
        <v>234</v>
      </c>
      <c r="F50" s="91" t="s">
        <v>234</v>
      </c>
      <c r="G50" s="100" t="s">
        <v>268</v>
      </c>
      <c r="H50" s="26" t="s">
        <v>296</v>
      </c>
    </row>
    <row r="51">
      <c r="B51" s="71" t="s">
        <v>89</v>
      </c>
      <c r="C51" s="72" t="s">
        <v>247</v>
      </c>
      <c r="D51" s="72" t="b">
        <v>1</v>
      </c>
      <c r="E51" s="87" t="s">
        <v>268</v>
      </c>
      <c r="F51" s="86" t="s">
        <v>267</v>
      </c>
      <c r="G51" s="98" t="s">
        <v>267</v>
      </c>
      <c r="H51" s="26" t="s">
        <v>297</v>
      </c>
    </row>
    <row r="52">
      <c r="B52" s="71" t="s">
        <v>90</v>
      </c>
      <c r="C52" s="72" t="s">
        <v>247</v>
      </c>
      <c r="D52" s="72" t="b">
        <v>1</v>
      </c>
      <c r="E52" s="86" t="s">
        <v>267</v>
      </c>
      <c r="F52" s="86" t="s">
        <v>267</v>
      </c>
      <c r="G52" s="98" t="s">
        <v>267</v>
      </c>
    </row>
    <row r="53">
      <c r="B53" s="80"/>
      <c r="C53" s="25" t="s">
        <v>11</v>
      </c>
      <c r="D53" s="25" t="b">
        <v>1</v>
      </c>
      <c r="E53" s="90" t="s">
        <v>234</v>
      </c>
      <c r="F53" s="102" t="s">
        <v>268</v>
      </c>
      <c r="G53" s="88" t="s">
        <v>234</v>
      </c>
      <c r="H53" s="26" t="s">
        <v>298</v>
      </c>
    </row>
    <row r="54">
      <c r="B54" s="71" t="s">
        <v>92</v>
      </c>
      <c r="C54" s="72" t="s">
        <v>247</v>
      </c>
      <c r="D54" s="72" t="b">
        <v>1</v>
      </c>
      <c r="E54" s="86" t="s">
        <v>267</v>
      </c>
      <c r="F54" s="86" t="s">
        <v>267</v>
      </c>
      <c r="G54" s="98" t="s">
        <v>267</v>
      </c>
    </row>
    <row r="55">
      <c r="B55" s="80"/>
      <c r="C55" s="25" t="s">
        <v>11</v>
      </c>
      <c r="D55" s="25" t="b">
        <v>1</v>
      </c>
      <c r="E55" s="89" t="s">
        <v>267</v>
      </c>
      <c r="F55" s="89" t="s">
        <v>267</v>
      </c>
      <c r="G55" s="97" t="s">
        <v>267</v>
      </c>
    </row>
    <row r="56">
      <c r="B56" s="71" t="s">
        <v>94</v>
      </c>
      <c r="C56" s="72" t="s">
        <v>11</v>
      </c>
      <c r="D56" s="72" t="b">
        <v>1</v>
      </c>
      <c r="E56" s="91" t="s">
        <v>234</v>
      </c>
      <c r="F56" s="91" t="s">
        <v>234</v>
      </c>
      <c r="G56" s="92" t="s">
        <v>234</v>
      </c>
      <c r="H56" s="26" t="s">
        <v>299</v>
      </c>
    </row>
    <row r="57">
      <c r="B57" s="80"/>
      <c r="C57" s="25" t="s">
        <v>249</v>
      </c>
      <c r="D57" s="25" t="b">
        <v>1</v>
      </c>
      <c r="E57" s="90" t="s">
        <v>234</v>
      </c>
      <c r="F57" s="90" t="s">
        <v>234</v>
      </c>
      <c r="G57" s="88" t="s">
        <v>234</v>
      </c>
      <c r="H57" s="26" t="s">
        <v>299</v>
      </c>
    </row>
    <row r="58">
      <c r="B58" s="77" t="s">
        <v>178</v>
      </c>
      <c r="C58" s="78" t="s">
        <v>238</v>
      </c>
      <c r="D58" s="78" t="b">
        <v>0</v>
      </c>
      <c r="E58" s="93" t="s">
        <v>267</v>
      </c>
      <c r="F58" s="93" t="s">
        <v>267</v>
      </c>
      <c r="G58" s="94" t="s">
        <v>267</v>
      </c>
    </row>
    <row r="59">
      <c r="B59" s="71" t="s">
        <v>98</v>
      </c>
      <c r="C59" s="72" t="s">
        <v>250</v>
      </c>
      <c r="D59" s="72" t="b">
        <v>0</v>
      </c>
      <c r="E59" s="86" t="s">
        <v>267</v>
      </c>
      <c r="F59" s="86" t="s">
        <v>267</v>
      </c>
      <c r="G59" s="98" t="s">
        <v>267</v>
      </c>
    </row>
    <row r="60">
      <c r="B60" s="82"/>
      <c r="C60" s="83" t="s">
        <v>251</v>
      </c>
      <c r="D60" s="83" t="b">
        <v>0</v>
      </c>
      <c r="E60" s="103" t="s">
        <v>267</v>
      </c>
      <c r="F60" s="104" t="s">
        <v>268</v>
      </c>
      <c r="G60" s="105" t="s">
        <v>267</v>
      </c>
      <c r="H60" s="26" t="s">
        <v>300</v>
      </c>
    </row>
    <row r="61">
      <c r="B61" s="77" t="s">
        <v>99</v>
      </c>
      <c r="C61" s="78" t="s">
        <v>238</v>
      </c>
      <c r="D61" s="78" t="b">
        <v>1</v>
      </c>
      <c r="E61" s="93" t="s">
        <v>267</v>
      </c>
      <c r="F61" s="93" t="s">
        <v>267</v>
      </c>
      <c r="G61" s="94" t="s">
        <v>267</v>
      </c>
    </row>
    <row r="62">
      <c r="B62" s="24" t="s">
        <v>100</v>
      </c>
      <c r="C62" s="25" t="s">
        <v>238</v>
      </c>
      <c r="D62" s="25" t="b">
        <v>1</v>
      </c>
      <c r="E62" s="90" t="s">
        <v>234</v>
      </c>
      <c r="F62" s="89" t="s">
        <v>267</v>
      </c>
      <c r="G62" s="97" t="s">
        <v>267</v>
      </c>
      <c r="H62" s="26" t="s">
        <v>301</v>
      </c>
    </row>
    <row r="63">
      <c r="B63" s="71" t="s">
        <v>101</v>
      </c>
      <c r="C63" s="72" t="s">
        <v>247</v>
      </c>
      <c r="D63" s="72" t="b">
        <v>1</v>
      </c>
      <c r="E63" s="91" t="s">
        <v>234</v>
      </c>
      <c r="F63" s="86" t="s">
        <v>267</v>
      </c>
      <c r="G63" s="98" t="s">
        <v>267</v>
      </c>
    </row>
    <row r="64">
      <c r="B64" s="80"/>
      <c r="C64" s="25" t="s">
        <v>103</v>
      </c>
      <c r="D64" s="25" t="b">
        <v>0</v>
      </c>
      <c r="E64" s="89" t="s">
        <v>267</v>
      </c>
      <c r="F64" s="89" t="s">
        <v>267</v>
      </c>
      <c r="G64" s="97" t="s">
        <v>267</v>
      </c>
      <c r="P64" s="26" t="s">
        <v>100</v>
      </c>
    </row>
    <row r="65">
      <c r="B65" s="80"/>
      <c r="C65" s="25" t="s">
        <v>102</v>
      </c>
      <c r="D65" s="25" t="b">
        <v>1</v>
      </c>
      <c r="E65" s="89" t="s">
        <v>267</v>
      </c>
      <c r="F65" s="89" t="s">
        <v>267</v>
      </c>
      <c r="G65" s="97" t="s">
        <v>267</v>
      </c>
      <c r="H65" s="26" t="s">
        <v>302</v>
      </c>
      <c r="P65" s="26" t="s">
        <v>101</v>
      </c>
    </row>
    <row r="66">
      <c r="B66" s="80"/>
      <c r="C66" s="25" t="s">
        <v>294</v>
      </c>
      <c r="D66" s="25" t="b">
        <v>0</v>
      </c>
      <c r="E66" s="89" t="s">
        <v>267</v>
      </c>
      <c r="F66" s="102" t="s">
        <v>268</v>
      </c>
      <c r="G66" s="97" t="s">
        <v>267</v>
      </c>
      <c r="H66" s="26" t="s">
        <v>303</v>
      </c>
    </row>
    <row r="67">
      <c r="B67" s="71" t="s">
        <v>106</v>
      </c>
      <c r="C67" s="72" t="s">
        <v>11</v>
      </c>
      <c r="D67" s="72" t="b">
        <v>1</v>
      </c>
      <c r="E67" s="87" t="s">
        <v>268</v>
      </c>
      <c r="F67" s="87" t="s">
        <v>268</v>
      </c>
      <c r="G67" s="98" t="s">
        <v>267</v>
      </c>
      <c r="H67" s="26" t="s">
        <v>304</v>
      </c>
    </row>
    <row r="68">
      <c r="B68" s="71" t="s">
        <v>108</v>
      </c>
      <c r="C68" s="72" t="s">
        <v>238</v>
      </c>
      <c r="D68" s="72" t="b">
        <v>0</v>
      </c>
      <c r="E68" s="86" t="s">
        <v>267</v>
      </c>
      <c r="F68" s="86" t="s">
        <v>267</v>
      </c>
      <c r="G68" s="92" t="s">
        <v>234</v>
      </c>
      <c r="H68" s="26" t="s">
        <v>305</v>
      </c>
    </row>
    <row r="69">
      <c r="B69" s="71" t="s">
        <v>110</v>
      </c>
      <c r="C69" s="72" t="s">
        <v>250</v>
      </c>
      <c r="D69" s="72" t="b">
        <v>0</v>
      </c>
      <c r="E69" s="87" t="s">
        <v>268</v>
      </c>
      <c r="F69" s="86" t="s">
        <v>267</v>
      </c>
      <c r="G69" s="98" t="s">
        <v>267</v>
      </c>
      <c r="H69" s="26" t="s">
        <v>306</v>
      </c>
    </row>
    <row r="70">
      <c r="B70" s="80"/>
      <c r="C70" s="25" t="s">
        <v>252</v>
      </c>
      <c r="D70" s="25" t="b">
        <v>0</v>
      </c>
      <c r="E70" s="90" t="s">
        <v>234</v>
      </c>
      <c r="F70" s="90" t="s">
        <v>234</v>
      </c>
      <c r="G70" s="97" t="s">
        <v>267</v>
      </c>
      <c r="H70" s="26" t="s">
        <v>307</v>
      </c>
    </row>
    <row r="71">
      <c r="B71" s="32"/>
      <c r="C71" s="32"/>
      <c r="D71" s="32"/>
      <c r="E71" s="32"/>
      <c r="F71" s="32"/>
      <c r="G71" s="32"/>
    </row>
    <row r="72">
      <c r="B72" s="26"/>
      <c r="C72" s="26"/>
      <c r="D72" s="26"/>
      <c r="E72" s="26"/>
      <c r="F72" s="26"/>
      <c r="G72" s="26"/>
    </row>
    <row r="73">
      <c r="B73" s="106" t="s">
        <v>308</v>
      </c>
      <c r="C73" s="26"/>
      <c r="E73" s="107" t="s">
        <v>309</v>
      </c>
      <c r="F73" s="108"/>
      <c r="G73" s="26"/>
      <c r="H73" s="109" t="s">
        <v>310</v>
      </c>
    </row>
    <row r="74">
      <c r="B74" s="110" t="s">
        <v>311</v>
      </c>
      <c r="C74" s="26"/>
      <c r="E74" s="111" t="s">
        <v>312</v>
      </c>
      <c r="F74" s="27" t="s">
        <v>313</v>
      </c>
      <c r="G74" s="26"/>
      <c r="H74" s="110" t="s">
        <v>62</v>
      </c>
    </row>
    <row r="75">
      <c r="B75" s="112" t="s">
        <v>314</v>
      </c>
      <c r="C75" s="26"/>
      <c r="D75" s="26"/>
      <c r="E75" s="111" t="s">
        <v>110</v>
      </c>
      <c r="F75" s="27" t="s">
        <v>315</v>
      </c>
      <c r="G75" s="26"/>
      <c r="H75" s="112" t="s">
        <v>101</v>
      </c>
    </row>
    <row r="76">
      <c r="B76" s="112" t="s">
        <v>316</v>
      </c>
      <c r="C76" s="26"/>
      <c r="D76" s="26"/>
      <c r="E76" s="111" t="s">
        <v>83</v>
      </c>
      <c r="F76" s="27" t="s">
        <v>317</v>
      </c>
      <c r="G76" s="26"/>
      <c r="H76" s="112" t="s">
        <v>82</v>
      </c>
    </row>
    <row r="77">
      <c r="B77" s="112" t="s">
        <v>153</v>
      </c>
      <c r="C77" s="26"/>
      <c r="D77" s="26"/>
      <c r="E77" s="111" t="s">
        <v>88</v>
      </c>
      <c r="F77" s="27" t="s">
        <v>318</v>
      </c>
      <c r="G77" s="26"/>
      <c r="H77" s="112" t="s">
        <v>94</v>
      </c>
    </row>
    <row r="78">
      <c r="B78" s="112" t="s">
        <v>51</v>
      </c>
      <c r="C78" s="26"/>
      <c r="D78" s="26"/>
      <c r="E78" s="111" t="s">
        <v>100</v>
      </c>
      <c r="F78" s="27" t="s">
        <v>319</v>
      </c>
      <c r="G78" s="26"/>
      <c r="H78" s="113" t="s">
        <v>320</v>
      </c>
    </row>
    <row r="79">
      <c r="B79" s="112" t="s">
        <v>156</v>
      </c>
      <c r="C79" s="26"/>
      <c r="D79" s="26"/>
      <c r="E79" s="111" t="s">
        <v>181</v>
      </c>
      <c r="F79" s="27" t="s">
        <v>321</v>
      </c>
      <c r="G79" s="26"/>
    </row>
    <row r="80">
      <c r="B80" s="112" t="s">
        <v>52</v>
      </c>
      <c r="C80" s="26"/>
      <c r="D80" s="26"/>
      <c r="E80" s="111" t="s">
        <v>322</v>
      </c>
      <c r="F80" s="27" t="s">
        <v>319</v>
      </c>
      <c r="G80" s="26"/>
    </row>
    <row r="81">
      <c r="B81" s="112" t="s">
        <v>53</v>
      </c>
      <c r="C81" s="26"/>
      <c r="D81" s="26"/>
      <c r="E81" s="111" t="s">
        <v>108</v>
      </c>
      <c r="F81" s="27" t="s">
        <v>323</v>
      </c>
      <c r="G81" s="26"/>
    </row>
    <row r="82">
      <c r="B82" s="112" t="s">
        <v>324</v>
      </c>
      <c r="C82" s="26"/>
      <c r="D82" s="26"/>
      <c r="E82" s="114" t="s">
        <v>169</v>
      </c>
      <c r="F82" s="41" t="s">
        <v>325</v>
      </c>
      <c r="G82" s="26"/>
    </row>
    <row r="83">
      <c r="B83" s="112" t="s">
        <v>326</v>
      </c>
      <c r="C83" s="26"/>
      <c r="D83" s="26"/>
      <c r="E83" s="26"/>
      <c r="F83" s="26"/>
      <c r="G83" s="26"/>
    </row>
    <row r="84">
      <c r="B84" s="112" t="s">
        <v>78</v>
      </c>
      <c r="C84" s="26"/>
      <c r="D84" s="26"/>
      <c r="E84" s="26"/>
      <c r="F84" s="26"/>
      <c r="G84" s="26"/>
    </row>
    <row r="85">
      <c r="B85" s="112" t="s">
        <v>172</v>
      </c>
      <c r="C85" s="26"/>
      <c r="D85" s="26"/>
      <c r="E85" s="26"/>
      <c r="F85" s="26"/>
      <c r="G85" s="26"/>
    </row>
    <row r="86">
      <c r="B86" s="113" t="s">
        <v>108</v>
      </c>
      <c r="C86" s="26"/>
      <c r="D86" s="26"/>
      <c r="E86" s="26"/>
      <c r="F86" s="26"/>
      <c r="G86" s="26"/>
    </row>
    <row r="87">
      <c r="B87" s="26"/>
      <c r="C87" s="26"/>
      <c r="D87" s="26"/>
      <c r="E87" s="26"/>
      <c r="F87" s="26"/>
      <c r="G87" s="26"/>
    </row>
    <row r="88">
      <c r="B88" s="26"/>
      <c r="C88" s="26"/>
      <c r="D88" s="26"/>
      <c r="E88" s="26"/>
      <c r="F88" s="26"/>
      <c r="G88" s="26"/>
    </row>
    <row r="89">
      <c r="B89" s="26"/>
      <c r="C89" s="26"/>
      <c r="D89" s="26"/>
      <c r="E89" s="26"/>
      <c r="F89" s="26"/>
      <c r="G89" s="26"/>
    </row>
    <row r="90">
      <c r="B90" s="26"/>
      <c r="C90" s="26"/>
      <c r="D90" s="26"/>
      <c r="E90" s="26"/>
      <c r="F90" s="26"/>
      <c r="G90" s="26"/>
    </row>
    <row r="91">
      <c r="B91" s="26"/>
      <c r="C91" s="26"/>
      <c r="D91" s="26"/>
      <c r="E91" s="26"/>
      <c r="F91" s="26"/>
      <c r="G91" s="26"/>
    </row>
    <row r="92">
      <c r="B92" s="26"/>
      <c r="C92" s="26"/>
      <c r="D92" s="26"/>
      <c r="E92" s="26"/>
      <c r="F92" s="26"/>
      <c r="G92" s="26"/>
    </row>
    <row r="93">
      <c r="B93" s="26"/>
      <c r="C93" s="26"/>
      <c r="D93" s="26"/>
      <c r="E93" s="26"/>
      <c r="F93" s="26"/>
      <c r="G93" s="26"/>
    </row>
    <row r="94">
      <c r="B94" s="26"/>
      <c r="C94" s="26"/>
      <c r="D94" s="26"/>
      <c r="E94" s="26"/>
      <c r="F94" s="26"/>
      <c r="G94" s="26"/>
    </row>
    <row r="95">
      <c r="B95" s="26"/>
      <c r="C95" s="26"/>
      <c r="D95" s="26"/>
      <c r="E95" s="26"/>
      <c r="F95" s="26"/>
      <c r="G95" s="26"/>
    </row>
    <row r="96">
      <c r="B96" s="26"/>
      <c r="C96" s="26"/>
      <c r="D96" s="26"/>
      <c r="E96" s="26"/>
      <c r="F96" s="26"/>
      <c r="G96" s="26"/>
    </row>
    <row r="97">
      <c r="B97" s="26"/>
      <c r="C97" s="26"/>
      <c r="D97" s="26"/>
      <c r="E97" s="26"/>
      <c r="F97" s="26"/>
      <c r="G97" s="26"/>
    </row>
    <row r="98">
      <c r="B98" s="26"/>
      <c r="C98" s="26"/>
      <c r="D98" s="26"/>
      <c r="E98" s="26"/>
      <c r="F98" s="26"/>
      <c r="G98" s="26"/>
    </row>
    <row r="99">
      <c r="B99" s="26"/>
      <c r="C99" s="26"/>
      <c r="D99" s="26"/>
      <c r="E99" s="26"/>
      <c r="F99" s="26"/>
      <c r="G99" s="26"/>
    </row>
    <row r="100">
      <c r="B100" s="26"/>
      <c r="C100" s="26"/>
      <c r="D100" s="26"/>
      <c r="E100" s="26"/>
      <c r="F100" s="26"/>
      <c r="G100" s="26"/>
    </row>
    <row r="101">
      <c r="B101" s="26"/>
      <c r="C101" s="26"/>
      <c r="D101" s="26"/>
      <c r="E101" s="26"/>
      <c r="F101" s="26"/>
      <c r="G101" s="26"/>
    </row>
    <row r="102">
      <c r="B102" s="26"/>
      <c r="C102" s="26"/>
      <c r="D102" s="26"/>
      <c r="E102" s="26"/>
      <c r="F102" s="26"/>
      <c r="G102" s="26"/>
    </row>
    <row r="103">
      <c r="B103" s="26"/>
      <c r="C103" s="26"/>
      <c r="D103" s="26"/>
      <c r="E103" s="26"/>
      <c r="F103" s="26"/>
      <c r="G103" s="26"/>
    </row>
    <row r="104">
      <c r="B104" s="26"/>
      <c r="C104" s="26"/>
      <c r="D104" s="26"/>
      <c r="E104" s="26"/>
      <c r="F104" s="26"/>
      <c r="G104" s="26"/>
    </row>
    <row r="105">
      <c r="B105" s="26"/>
      <c r="C105" s="26"/>
      <c r="D105" s="26"/>
      <c r="E105" s="26"/>
      <c r="F105" s="26"/>
      <c r="G105" s="26"/>
    </row>
    <row r="106">
      <c r="B106" s="26"/>
      <c r="C106" s="26"/>
      <c r="D106" s="26"/>
      <c r="E106" s="26"/>
      <c r="F106" s="26"/>
      <c r="G106" s="26"/>
    </row>
    <row r="107">
      <c r="B107" s="26"/>
      <c r="C107" s="26"/>
      <c r="D107" s="26"/>
      <c r="E107" s="26"/>
      <c r="F107" s="26"/>
      <c r="G107" s="26"/>
    </row>
    <row r="108">
      <c r="B108" s="26"/>
      <c r="C108" s="26"/>
      <c r="D108" s="26"/>
      <c r="E108" s="26"/>
      <c r="F108" s="26"/>
      <c r="G108" s="26"/>
    </row>
    <row r="109">
      <c r="B109" s="26"/>
      <c r="C109" s="26"/>
      <c r="D109" s="26"/>
      <c r="E109" s="26"/>
      <c r="F109" s="26"/>
      <c r="G109" s="26"/>
    </row>
    <row r="110">
      <c r="B110" s="26"/>
      <c r="C110" s="26"/>
      <c r="D110" s="26"/>
      <c r="E110" s="26"/>
      <c r="F110" s="26"/>
      <c r="G110" s="26"/>
    </row>
    <row r="111">
      <c r="B111" s="26"/>
      <c r="C111" s="26"/>
      <c r="D111" s="26"/>
      <c r="E111" s="26"/>
      <c r="F111" s="26"/>
      <c r="G111" s="26"/>
    </row>
    <row r="112">
      <c r="B112" s="26"/>
      <c r="C112" s="26"/>
      <c r="D112" s="26"/>
      <c r="E112" s="26"/>
      <c r="F112" s="26"/>
      <c r="G112" s="26"/>
    </row>
    <row r="113">
      <c r="B113" s="26"/>
      <c r="C113" s="26"/>
      <c r="D113" s="26"/>
      <c r="E113" s="26"/>
      <c r="F113" s="26"/>
      <c r="G113" s="26"/>
    </row>
    <row r="114">
      <c r="B114" s="26"/>
      <c r="C114" s="26"/>
      <c r="D114" s="26"/>
      <c r="E114" s="26"/>
      <c r="F114" s="26"/>
      <c r="G114" s="26"/>
    </row>
    <row r="115">
      <c r="B115" s="26"/>
      <c r="C115" s="26"/>
      <c r="D115" s="26"/>
      <c r="E115" s="26"/>
      <c r="F115" s="26"/>
      <c r="G115" s="26"/>
    </row>
    <row r="116">
      <c r="B116" s="26"/>
      <c r="C116" s="26"/>
      <c r="D116" s="26"/>
      <c r="E116" s="26"/>
      <c r="F116" s="26"/>
      <c r="G116" s="26"/>
    </row>
    <row r="117">
      <c r="B117" s="26"/>
      <c r="C117" s="26"/>
      <c r="D117" s="26"/>
      <c r="E117" s="26"/>
      <c r="F117" s="26"/>
      <c r="G117" s="26"/>
    </row>
    <row r="118">
      <c r="B118" s="26"/>
      <c r="C118" s="26"/>
      <c r="D118" s="26"/>
      <c r="E118" s="26"/>
      <c r="F118" s="26"/>
      <c r="G118" s="26"/>
    </row>
    <row r="119">
      <c r="B119" s="26"/>
      <c r="C119" s="26"/>
      <c r="D119" s="26"/>
      <c r="E119" s="26"/>
      <c r="F119" s="26"/>
      <c r="G119" s="26"/>
    </row>
    <row r="120">
      <c r="B120" s="26"/>
      <c r="C120" s="26"/>
      <c r="D120" s="26"/>
      <c r="E120" s="26"/>
      <c r="F120" s="26"/>
      <c r="G120" s="26"/>
    </row>
    <row r="121">
      <c r="B121" s="26"/>
      <c r="C121" s="26"/>
      <c r="D121" s="26"/>
      <c r="E121" s="26"/>
      <c r="F121" s="26"/>
      <c r="G121" s="26"/>
    </row>
    <row r="122">
      <c r="B122" s="26"/>
      <c r="C122" s="26"/>
      <c r="D122" s="26"/>
      <c r="E122" s="26"/>
      <c r="F122" s="26"/>
      <c r="G122" s="26"/>
    </row>
    <row r="123">
      <c r="B123" s="26"/>
      <c r="C123" s="26"/>
      <c r="D123" s="26"/>
      <c r="E123" s="26"/>
      <c r="F123" s="26"/>
      <c r="G123" s="26"/>
    </row>
    <row r="124">
      <c r="B124" s="26"/>
      <c r="C124" s="26"/>
      <c r="D124" s="26"/>
      <c r="E124" s="26"/>
      <c r="F124" s="26"/>
      <c r="G124" s="26"/>
    </row>
    <row r="125">
      <c r="B125" s="26"/>
      <c r="C125" s="26"/>
      <c r="D125" s="26"/>
      <c r="E125" s="26"/>
      <c r="F125" s="26"/>
      <c r="G125" s="26"/>
    </row>
    <row r="126">
      <c r="B126" s="26"/>
      <c r="C126" s="26"/>
      <c r="D126" s="26"/>
      <c r="E126" s="26"/>
      <c r="F126" s="26"/>
      <c r="G126" s="26"/>
    </row>
    <row r="127">
      <c r="B127" s="26"/>
      <c r="C127" s="26"/>
      <c r="D127" s="26"/>
      <c r="E127" s="26"/>
      <c r="F127" s="26"/>
      <c r="G127" s="26"/>
    </row>
    <row r="128">
      <c r="B128" s="26"/>
      <c r="C128" s="26"/>
      <c r="D128" s="26"/>
      <c r="E128" s="26"/>
      <c r="F128" s="26"/>
      <c r="G128" s="26"/>
    </row>
    <row r="129">
      <c r="B129" s="26"/>
      <c r="C129" s="26"/>
      <c r="D129" s="26"/>
      <c r="E129" s="26"/>
      <c r="F129" s="26"/>
      <c r="G129" s="26"/>
    </row>
    <row r="130">
      <c r="B130" s="26"/>
      <c r="C130" s="26"/>
      <c r="D130" s="26"/>
      <c r="E130" s="26"/>
      <c r="F130" s="26"/>
      <c r="G130" s="26"/>
    </row>
    <row r="131">
      <c r="B131" s="26"/>
      <c r="C131" s="26"/>
      <c r="D131" s="26"/>
      <c r="E131" s="26"/>
      <c r="F131" s="26"/>
      <c r="G131" s="26"/>
    </row>
    <row r="132">
      <c r="B132" s="26"/>
      <c r="C132" s="26"/>
      <c r="D132" s="26"/>
      <c r="E132" s="26"/>
      <c r="F132" s="26"/>
      <c r="G132" s="26"/>
    </row>
    <row r="133">
      <c r="B133" s="26"/>
      <c r="C133" s="26"/>
      <c r="D133" s="26"/>
      <c r="E133" s="26"/>
      <c r="F133" s="26"/>
      <c r="G133" s="26"/>
    </row>
    <row r="134">
      <c r="B134" s="26"/>
      <c r="C134" s="26"/>
      <c r="D134" s="26"/>
      <c r="E134" s="26"/>
      <c r="F134" s="26"/>
      <c r="G134" s="26"/>
    </row>
    <row r="135">
      <c r="B135" s="26"/>
      <c r="C135" s="26"/>
      <c r="D135" s="26"/>
      <c r="E135" s="26"/>
      <c r="F135" s="26"/>
      <c r="G135" s="26"/>
    </row>
    <row r="136">
      <c r="B136" s="26"/>
      <c r="C136" s="26"/>
      <c r="D136" s="26"/>
      <c r="E136" s="26"/>
      <c r="F136" s="26"/>
      <c r="G136" s="26"/>
    </row>
    <row r="137">
      <c r="B137" s="26"/>
      <c r="C137" s="26"/>
      <c r="D137" s="26"/>
      <c r="E137" s="26"/>
      <c r="F137" s="26"/>
      <c r="G137" s="26"/>
    </row>
    <row r="138">
      <c r="B138" s="26"/>
      <c r="C138" s="26"/>
      <c r="D138" s="26"/>
      <c r="E138" s="26"/>
      <c r="F138" s="26"/>
      <c r="G138" s="26"/>
    </row>
    <row r="139">
      <c r="B139" s="26"/>
      <c r="C139" s="26"/>
      <c r="D139" s="26"/>
      <c r="E139" s="26"/>
      <c r="F139" s="26"/>
      <c r="G139" s="26"/>
    </row>
    <row r="140">
      <c r="B140" s="26"/>
      <c r="C140" s="26"/>
      <c r="D140" s="26"/>
      <c r="E140" s="26"/>
      <c r="F140" s="26"/>
      <c r="G140" s="26"/>
    </row>
    <row r="141">
      <c r="B141" s="26"/>
      <c r="C141" s="26"/>
      <c r="D141" s="26"/>
      <c r="E141" s="26"/>
      <c r="F141" s="26"/>
      <c r="G141" s="26"/>
    </row>
    <row r="142">
      <c r="B142" s="26"/>
      <c r="C142" s="26"/>
      <c r="D142" s="26"/>
      <c r="E142" s="26"/>
      <c r="F142" s="26"/>
      <c r="G142" s="26"/>
    </row>
    <row r="143">
      <c r="B143" s="26"/>
      <c r="C143" s="26"/>
      <c r="D143" s="26"/>
      <c r="E143" s="26"/>
      <c r="F143" s="26"/>
      <c r="G143" s="26"/>
    </row>
    <row r="144">
      <c r="B144" s="26"/>
      <c r="C144" s="26"/>
      <c r="D144" s="26"/>
      <c r="E144" s="26"/>
      <c r="F144" s="26"/>
      <c r="G144" s="26"/>
    </row>
    <row r="145">
      <c r="B145" s="26"/>
      <c r="C145" s="26"/>
      <c r="D145" s="26"/>
      <c r="E145" s="26"/>
      <c r="F145" s="26"/>
      <c r="G145" s="26"/>
    </row>
    <row r="146">
      <c r="B146" s="26"/>
      <c r="C146" s="26"/>
      <c r="D146" s="26"/>
      <c r="E146" s="26"/>
      <c r="F146" s="26"/>
      <c r="G146" s="26"/>
    </row>
    <row r="147">
      <c r="B147" s="26"/>
      <c r="C147" s="26"/>
      <c r="D147" s="26"/>
      <c r="E147" s="26"/>
      <c r="F147" s="26"/>
      <c r="G147" s="26"/>
    </row>
    <row r="148">
      <c r="B148" s="26"/>
      <c r="C148" s="26"/>
      <c r="D148" s="26"/>
      <c r="E148" s="26"/>
      <c r="F148" s="26"/>
      <c r="G148" s="26"/>
    </row>
    <row r="149">
      <c r="B149" s="26"/>
      <c r="C149" s="26"/>
      <c r="D149" s="26"/>
      <c r="E149" s="26"/>
      <c r="F149" s="26"/>
      <c r="G149" s="26"/>
    </row>
    <row r="150">
      <c r="B150" s="26"/>
      <c r="C150" s="26"/>
      <c r="D150" s="26"/>
      <c r="E150" s="26"/>
      <c r="F150" s="26"/>
      <c r="G150" s="26"/>
    </row>
    <row r="151">
      <c r="B151" s="26"/>
      <c r="C151" s="26"/>
      <c r="D151" s="26"/>
      <c r="E151" s="26"/>
      <c r="F151" s="26"/>
      <c r="G151" s="26"/>
    </row>
    <row r="152">
      <c r="B152" s="26"/>
      <c r="C152" s="26"/>
      <c r="D152" s="26"/>
      <c r="E152" s="26"/>
      <c r="F152" s="26"/>
      <c r="G152" s="26"/>
    </row>
    <row r="153">
      <c r="B153" s="26"/>
      <c r="C153" s="26"/>
      <c r="D153" s="26"/>
      <c r="E153" s="26"/>
      <c r="F153" s="26"/>
      <c r="G153" s="26"/>
    </row>
    <row r="154">
      <c r="B154" s="26"/>
      <c r="C154" s="26"/>
      <c r="D154" s="26"/>
      <c r="E154" s="26"/>
      <c r="F154" s="26"/>
      <c r="G154" s="26"/>
    </row>
    <row r="155">
      <c r="B155" s="26"/>
      <c r="C155" s="26"/>
      <c r="D155" s="26"/>
      <c r="E155" s="26"/>
      <c r="F155" s="26"/>
      <c r="G155" s="26"/>
    </row>
    <row r="156">
      <c r="B156" s="26"/>
      <c r="C156" s="26"/>
      <c r="D156" s="26"/>
      <c r="E156" s="26"/>
      <c r="F156" s="26"/>
      <c r="G156" s="26"/>
    </row>
    <row r="157">
      <c r="B157" s="26"/>
      <c r="C157" s="26"/>
      <c r="D157" s="26"/>
      <c r="E157" s="26"/>
      <c r="F157" s="26"/>
      <c r="G157" s="26"/>
    </row>
    <row r="158">
      <c r="B158" s="26"/>
      <c r="C158" s="26"/>
      <c r="D158" s="26"/>
      <c r="E158" s="26"/>
      <c r="F158" s="26"/>
      <c r="G158" s="26"/>
    </row>
    <row r="159">
      <c r="B159" s="26"/>
      <c r="C159" s="26"/>
      <c r="D159" s="26"/>
      <c r="E159" s="26"/>
      <c r="F159" s="26"/>
      <c r="G159" s="26"/>
    </row>
    <row r="160">
      <c r="B160" s="26"/>
      <c r="C160" s="26"/>
      <c r="D160" s="26"/>
      <c r="E160" s="26"/>
      <c r="F160" s="26"/>
      <c r="G160" s="26"/>
    </row>
    <row r="161">
      <c r="B161" s="26"/>
      <c r="C161" s="26"/>
      <c r="D161" s="26"/>
      <c r="E161" s="26"/>
      <c r="F161" s="26"/>
      <c r="G161" s="26"/>
    </row>
    <row r="162">
      <c r="B162" s="26"/>
      <c r="C162" s="26"/>
      <c r="D162" s="26"/>
      <c r="E162" s="26"/>
      <c r="F162" s="26"/>
      <c r="G162" s="26"/>
    </row>
    <row r="163">
      <c r="B163" s="26"/>
      <c r="C163" s="26"/>
      <c r="D163" s="26"/>
      <c r="E163" s="26"/>
      <c r="F163" s="26"/>
      <c r="G163" s="26"/>
    </row>
    <row r="164">
      <c r="B164" s="26"/>
      <c r="C164" s="26"/>
      <c r="D164" s="26"/>
      <c r="E164" s="26"/>
      <c r="F164" s="26"/>
      <c r="G164" s="26"/>
    </row>
    <row r="165">
      <c r="B165" s="26"/>
      <c r="C165" s="26"/>
      <c r="D165" s="26"/>
      <c r="E165" s="26"/>
      <c r="F165" s="26"/>
      <c r="G165" s="26"/>
    </row>
    <row r="166">
      <c r="B166" s="26"/>
      <c r="C166" s="26"/>
      <c r="D166" s="26"/>
      <c r="E166" s="26"/>
      <c r="F166" s="26"/>
      <c r="G166" s="26"/>
    </row>
    <row r="167">
      <c r="B167" s="26"/>
      <c r="C167" s="26"/>
      <c r="D167" s="26"/>
      <c r="E167" s="26"/>
      <c r="F167" s="26"/>
      <c r="G167" s="26"/>
    </row>
  </sheetData>
  <mergeCells count="2">
    <mergeCell ref="B3:G4"/>
    <mergeCell ref="E73:F7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9.38"/>
    <col customWidth="1" min="3" max="3" width="16.13"/>
    <col customWidth="1" min="4" max="4" width="12.38"/>
    <col customWidth="1" min="5" max="5" width="26.63"/>
    <col customWidth="1" min="6" max="7" width="25.13"/>
    <col customWidth="1" min="8" max="12" width="19.38"/>
    <col customWidth="1" min="13" max="38" width="11.5"/>
    <col customWidth="1" min="39" max="42" width="7.63"/>
  </cols>
  <sheetData>
    <row r="3">
      <c r="B3" s="58" t="s">
        <v>221</v>
      </c>
      <c r="C3" s="3"/>
      <c r="D3" s="3"/>
      <c r="E3" s="3"/>
      <c r="F3" s="3"/>
      <c r="G3" s="4"/>
      <c r="N3" s="26"/>
    </row>
    <row r="4">
      <c r="B4" s="60"/>
      <c r="C4" s="61"/>
      <c r="D4" s="61"/>
      <c r="E4" s="61"/>
      <c r="F4" s="61"/>
      <c r="G4" s="62"/>
      <c r="N4" s="26"/>
    </row>
    <row r="5">
      <c r="B5" s="63" t="s">
        <v>223</v>
      </c>
      <c r="C5" s="64" t="s">
        <v>224</v>
      </c>
      <c r="D5" s="64" t="s">
        <v>227</v>
      </c>
      <c r="E5" s="64" t="s">
        <v>264</v>
      </c>
      <c r="F5" s="64" t="s">
        <v>265</v>
      </c>
      <c r="G5" s="65" t="s">
        <v>266</v>
      </c>
      <c r="N5" s="26"/>
    </row>
    <row r="6">
      <c r="B6" s="71" t="s">
        <v>66</v>
      </c>
      <c r="C6" s="72" t="s">
        <v>231</v>
      </c>
      <c r="D6" s="72" t="b">
        <v>1</v>
      </c>
      <c r="E6" s="86" t="s">
        <v>267</v>
      </c>
      <c r="F6" s="87" t="s">
        <v>268</v>
      </c>
      <c r="G6" s="88" t="s">
        <v>234</v>
      </c>
      <c r="H6" s="26" t="s">
        <v>269</v>
      </c>
      <c r="N6" s="26"/>
    </row>
    <row r="7">
      <c r="B7" s="24"/>
      <c r="C7" s="25" t="s">
        <v>17</v>
      </c>
      <c r="D7" s="25" t="b">
        <v>1</v>
      </c>
      <c r="E7" s="89" t="s">
        <v>267</v>
      </c>
      <c r="F7" s="90" t="s">
        <v>234</v>
      </c>
      <c r="G7" s="88" t="s">
        <v>234</v>
      </c>
      <c r="H7" s="26" t="s">
        <v>270</v>
      </c>
      <c r="N7" s="26"/>
    </row>
    <row r="8">
      <c r="B8" s="71" t="s">
        <v>232</v>
      </c>
      <c r="C8" s="72" t="s">
        <v>11</v>
      </c>
      <c r="D8" s="72" t="b">
        <v>1</v>
      </c>
      <c r="E8" s="86" t="s">
        <v>267</v>
      </c>
      <c r="F8" s="91" t="s">
        <v>234</v>
      </c>
      <c r="G8" s="92" t="s">
        <v>234</v>
      </c>
      <c r="H8" s="26" t="s">
        <v>271</v>
      </c>
      <c r="N8" s="26"/>
    </row>
    <row r="9">
      <c r="B9" s="24"/>
      <c r="C9" s="25" t="s">
        <v>17</v>
      </c>
      <c r="D9" s="25" t="b">
        <v>1</v>
      </c>
      <c r="E9" s="89" t="s">
        <v>267</v>
      </c>
      <c r="F9" s="89" t="s">
        <v>267</v>
      </c>
      <c r="G9" s="88" t="s">
        <v>234</v>
      </c>
      <c r="N9" s="26"/>
    </row>
    <row r="10">
      <c r="B10" s="71" t="s">
        <v>51</v>
      </c>
      <c r="C10" s="72" t="s">
        <v>11</v>
      </c>
      <c r="D10" s="72" t="b">
        <v>1</v>
      </c>
      <c r="E10" s="86" t="s">
        <v>267</v>
      </c>
      <c r="F10" s="87" t="s">
        <v>268</v>
      </c>
      <c r="G10" s="92" t="s">
        <v>234</v>
      </c>
      <c r="H10" s="26" t="s">
        <v>272</v>
      </c>
      <c r="N10" s="26"/>
    </row>
    <row r="11">
      <c r="B11" s="24"/>
      <c r="C11" s="25" t="s">
        <v>17</v>
      </c>
      <c r="D11" s="25" t="b">
        <v>1</v>
      </c>
      <c r="E11" s="89" t="s">
        <v>267</v>
      </c>
      <c r="F11" s="89" t="s">
        <v>267</v>
      </c>
      <c r="G11" s="88" t="s">
        <v>234</v>
      </c>
      <c r="N11" s="26"/>
    </row>
    <row r="12">
      <c r="B12" s="24"/>
      <c r="C12" s="25" t="s">
        <v>233</v>
      </c>
      <c r="D12" s="25" t="b">
        <v>1</v>
      </c>
      <c r="E12" s="89" t="s">
        <v>267</v>
      </c>
      <c r="F12" s="89" t="s">
        <v>267</v>
      </c>
      <c r="G12" s="88" t="s">
        <v>234</v>
      </c>
      <c r="N12" s="26"/>
    </row>
    <row r="13">
      <c r="B13" s="71" t="s">
        <v>53</v>
      </c>
      <c r="C13" s="72" t="s">
        <v>11</v>
      </c>
      <c r="D13" s="72" t="b">
        <v>1</v>
      </c>
      <c r="E13" s="86" t="s">
        <v>267</v>
      </c>
      <c r="F13" s="86" t="s">
        <v>267</v>
      </c>
      <c r="G13" s="92" t="s">
        <v>234</v>
      </c>
      <c r="N13" s="26"/>
    </row>
    <row r="14">
      <c r="B14" s="24"/>
      <c r="C14" s="25" t="s">
        <v>273</v>
      </c>
      <c r="D14" s="25" t="b">
        <v>1</v>
      </c>
      <c r="E14" s="89" t="s">
        <v>267</v>
      </c>
      <c r="F14" s="89" t="s">
        <v>267</v>
      </c>
      <c r="G14" s="88" t="s">
        <v>234</v>
      </c>
    </row>
    <row r="15">
      <c r="B15" s="77" t="s">
        <v>55</v>
      </c>
      <c r="C15" s="78" t="s">
        <v>238</v>
      </c>
      <c r="D15" s="78" t="b">
        <v>0</v>
      </c>
      <c r="E15" s="93" t="s">
        <v>267</v>
      </c>
      <c r="F15" s="95" t="s">
        <v>234</v>
      </c>
      <c r="G15" s="94" t="s">
        <v>267</v>
      </c>
      <c r="H15" s="26" t="s">
        <v>274</v>
      </c>
    </row>
    <row r="16">
      <c r="B16" s="71" t="s">
        <v>61</v>
      </c>
      <c r="C16" s="72" t="s">
        <v>238</v>
      </c>
      <c r="D16" s="72" t="b">
        <v>1</v>
      </c>
      <c r="E16" s="86" t="s">
        <v>267</v>
      </c>
      <c r="F16" s="87" t="s">
        <v>268</v>
      </c>
      <c r="G16" s="98" t="s">
        <v>267</v>
      </c>
      <c r="H16" s="26" t="s">
        <v>272</v>
      </c>
    </row>
    <row r="17">
      <c r="B17" s="71" t="s">
        <v>62</v>
      </c>
      <c r="C17" s="72" t="s">
        <v>32</v>
      </c>
      <c r="D17" s="72" t="b">
        <v>1</v>
      </c>
      <c r="E17" s="91" t="s">
        <v>234</v>
      </c>
      <c r="F17" s="91" t="s">
        <v>234</v>
      </c>
      <c r="G17" s="98" t="s">
        <v>267</v>
      </c>
      <c r="H17" s="26" t="s">
        <v>278</v>
      </c>
    </row>
    <row r="18">
      <c r="B18" s="71" t="s">
        <v>67</v>
      </c>
      <c r="C18" s="72" t="s">
        <v>238</v>
      </c>
      <c r="D18" s="72" t="b">
        <v>1</v>
      </c>
      <c r="E18" s="86" t="s">
        <v>267</v>
      </c>
      <c r="F18" s="86" t="s">
        <v>267</v>
      </c>
      <c r="G18" s="92" t="s">
        <v>234</v>
      </c>
    </row>
    <row r="19">
      <c r="B19" s="71" t="s">
        <v>165</v>
      </c>
      <c r="C19" s="72" t="s">
        <v>238</v>
      </c>
      <c r="D19" s="72" t="b">
        <v>1</v>
      </c>
      <c r="E19" s="86" t="s">
        <v>267</v>
      </c>
      <c r="F19" s="86" t="s">
        <v>267</v>
      </c>
      <c r="G19" s="100" t="s">
        <v>268</v>
      </c>
      <c r="H19" s="26" t="s">
        <v>283</v>
      </c>
    </row>
    <row r="20">
      <c r="B20" s="71" t="s">
        <v>242</v>
      </c>
      <c r="C20" s="72" t="s">
        <v>243</v>
      </c>
      <c r="D20" s="72" t="b">
        <v>0</v>
      </c>
      <c r="E20" s="86" t="s">
        <v>267</v>
      </c>
      <c r="F20" s="86" t="s">
        <v>267</v>
      </c>
      <c r="G20" s="92" t="s">
        <v>234</v>
      </c>
      <c r="H20" s="26" t="s">
        <v>284</v>
      </c>
    </row>
    <row r="21">
      <c r="B21" s="80"/>
      <c r="C21" s="25" t="s">
        <v>285</v>
      </c>
      <c r="D21" s="25" t="b">
        <v>0</v>
      </c>
      <c r="E21" s="89" t="s">
        <v>267</v>
      </c>
      <c r="F21" s="89" t="s">
        <v>267</v>
      </c>
      <c r="G21" s="88" t="s">
        <v>234</v>
      </c>
      <c r="H21" s="26" t="s">
        <v>284</v>
      </c>
    </row>
    <row r="22">
      <c r="B22" s="71" t="s">
        <v>82</v>
      </c>
      <c r="C22" s="72" t="s">
        <v>238</v>
      </c>
      <c r="D22" s="72" t="b">
        <v>1</v>
      </c>
      <c r="E22" s="86" t="s">
        <v>267</v>
      </c>
      <c r="F22" s="91" t="s">
        <v>234</v>
      </c>
      <c r="G22" s="98" t="s">
        <v>267</v>
      </c>
      <c r="H22" s="26" t="s">
        <v>290</v>
      </c>
    </row>
    <row r="23">
      <c r="B23" s="77" t="s">
        <v>167</v>
      </c>
      <c r="C23" s="78" t="s">
        <v>238</v>
      </c>
      <c r="D23" s="78" t="b">
        <v>0</v>
      </c>
      <c r="E23" s="101" t="s">
        <v>268</v>
      </c>
      <c r="F23" s="101" t="s">
        <v>268</v>
      </c>
      <c r="G23" s="94" t="s">
        <v>267</v>
      </c>
      <c r="H23" s="26" t="s">
        <v>291</v>
      </c>
    </row>
    <row r="24">
      <c r="B24" s="71" t="s">
        <v>169</v>
      </c>
      <c r="C24" s="72" t="s">
        <v>292</v>
      </c>
      <c r="D24" s="72" t="b">
        <v>0</v>
      </c>
      <c r="E24" s="86" t="s">
        <v>267</v>
      </c>
      <c r="F24" s="87" t="s">
        <v>268</v>
      </c>
      <c r="G24" s="98" t="s">
        <v>267</v>
      </c>
      <c r="H24" s="26" t="s">
        <v>293</v>
      </c>
    </row>
    <row r="25">
      <c r="B25" s="71" t="s">
        <v>87</v>
      </c>
      <c r="C25" s="72" t="s">
        <v>238</v>
      </c>
      <c r="D25" s="72" t="b">
        <v>0</v>
      </c>
      <c r="E25" s="86" t="s">
        <v>267</v>
      </c>
      <c r="F25" s="87" t="s">
        <v>268</v>
      </c>
      <c r="G25" s="98" t="s">
        <v>267</v>
      </c>
      <c r="H25" s="26" t="s">
        <v>295</v>
      </c>
    </row>
    <row r="26">
      <c r="B26" s="71" t="s">
        <v>88</v>
      </c>
      <c r="C26" s="72" t="s">
        <v>238</v>
      </c>
      <c r="D26" s="72" t="b">
        <v>0</v>
      </c>
      <c r="E26" s="91" t="s">
        <v>234</v>
      </c>
      <c r="F26" s="91" t="s">
        <v>234</v>
      </c>
      <c r="G26" s="100" t="s">
        <v>268</v>
      </c>
      <c r="H26" s="26" t="s">
        <v>296</v>
      </c>
    </row>
    <row r="27">
      <c r="B27" s="71" t="s">
        <v>89</v>
      </c>
      <c r="C27" s="72" t="s">
        <v>247</v>
      </c>
      <c r="D27" s="72" t="b">
        <v>1</v>
      </c>
      <c r="E27" s="87" t="s">
        <v>268</v>
      </c>
      <c r="F27" s="86" t="s">
        <v>267</v>
      </c>
      <c r="G27" s="98" t="s">
        <v>267</v>
      </c>
      <c r="H27" s="26" t="s">
        <v>297</v>
      </c>
    </row>
    <row r="28">
      <c r="B28" s="71" t="s">
        <v>90</v>
      </c>
      <c r="C28" s="72" t="s">
        <v>11</v>
      </c>
      <c r="D28" s="72" t="b">
        <v>1</v>
      </c>
      <c r="E28" s="91" t="s">
        <v>234</v>
      </c>
      <c r="F28" s="87" t="s">
        <v>268</v>
      </c>
      <c r="G28" s="92" t="s">
        <v>234</v>
      </c>
      <c r="H28" s="26" t="s">
        <v>298</v>
      </c>
    </row>
    <row r="29">
      <c r="B29" s="71" t="s">
        <v>94</v>
      </c>
      <c r="C29" s="72" t="s">
        <v>11</v>
      </c>
      <c r="D29" s="72" t="b">
        <v>1</v>
      </c>
      <c r="E29" s="91" t="s">
        <v>234</v>
      </c>
      <c r="F29" s="91" t="s">
        <v>234</v>
      </c>
      <c r="G29" s="92" t="s">
        <v>234</v>
      </c>
      <c r="H29" s="26" t="s">
        <v>299</v>
      </c>
    </row>
    <row r="30">
      <c r="B30" s="80"/>
      <c r="C30" s="25" t="s">
        <v>249</v>
      </c>
      <c r="D30" s="25" t="b">
        <v>1</v>
      </c>
      <c r="E30" s="90" t="s">
        <v>234</v>
      </c>
      <c r="F30" s="90" t="s">
        <v>234</v>
      </c>
      <c r="G30" s="88" t="s">
        <v>234</v>
      </c>
      <c r="H30" s="26" t="s">
        <v>299</v>
      </c>
    </row>
    <row r="31">
      <c r="B31" s="115" t="s">
        <v>98</v>
      </c>
      <c r="C31" s="78" t="s">
        <v>251</v>
      </c>
      <c r="D31" s="78" t="b">
        <v>0</v>
      </c>
      <c r="E31" s="93" t="s">
        <v>267</v>
      </c>
      <c r="F31" s="101" t="s">
        <v>268</v>
      </c>
      <c r="G31" s="93" t="s">
        <v>267</v>
      </c>
    </row>
    <row r="32">
      <c r="B32" s="24" t="s">
        <v>100</v>
      </c>
      <c r="C32" s="25" t="s">
        <v>238</v>
      </c>
      <c r="D32" s="25" t="b">
        <v>1</v>
      </c>
      <c r="E32" s="90" t="s">
        <v>234</v>
      </c>
      <c r="F32" s="89" t="s">
        <v>267</v>
      </c>
      <c r="G32" s="97" t="s">
        <v>267</v>
      </c>
      <c r="H32" s="26" t="s">
        <v>301</v>
      </c>
    </row>
    <row r="33">
      <c r="B33" s="71" t="s">
        <v>101</v>
      </c>
      <c r="C33" s="72" t="s">
        <v>247</v>
      </c>
      <c r="D33" s="72" t="b">
        <v>1</v>
      </c>
      <c r="E33" s="91" t="s">
        <v>234</v>
      </c>
      <c r="F33" s="86" t="s">
        <v>267</v>
      </c>
      <c r="G33" s="98" t="s">
        <v>267</v>
      </c>
    </row>
    <row r="34">
      <c r="B34" s="80"/>
      <c r="C34" s="25" t="s">
        <v>294</v>
      </c>
      <c r="D34" s="25" t="b">
        <v>0</v>
      </c>
      <c r="E34" s="89" t="s">
        <v>267</v>
      </c>
      <c r="F34" s="102" t="s">
        <v>268</v>
      </c>
      <c r="G34" s="97" t="s">
        <v>267</v>
      </c>
      <c r="H34" s="26" t="s">
        <v>303</v>
      </c>
    </row>
    <row r="35">
      <c r="B35" s="71" t="s">
        <v>106</v>
      </c>
      <c r="C35" s="72" t="s">
        <v>11</v>
      </c>
      <c r="D35" s="72" t="b">
        <v>1</v>
      </c>
      <c r="E35" s="87" t="s">
        <v>268</v>
      </c>
      <c r="F35" s="87" t="s">
        <v>268</v>
      </c>
      <c r="G35" s="98" t="s">
        <v>267</v>
      </c>
      <c r="H35" s="26" t="s">
        <v>304</v>
      </c>
    </row>
    <row r="36">
      <c r="B36" s="71" t="s">
        <v>108</v>
      </c>
      <c r="C36" s="72" t="s">
        <v>238</v>
      </c>
      <c r="D36" s="72" t="b">
        <v>0</v>
      </c>
      <c r="E36" s="86" t="s">
        <v>267</v>
      </c>
      <c r="F36" s="86" t="s">
        <v>267</v>
      </c>
      <c r="G36" s="92" t="s">
        <v>234</v>
      </c>
      <c r="H36" s="26" t="s">
        <v>305</v>
      </c>
    </row>
    <row r="37">
      <c r="B37" s="71" t="s">
        <v>110</v>
      </c>
      <c r="C37" s="72" t="s">
        <v>250</v>
      </c>
      <c r="D37" s="72" t="b">
        <v>0</v>
      </c>
      <c r="E37" s="87" t="s">
        <v>268</v>
      </c>
      <c r="F37" s="86" t="s">
        <v>267</v>
      </c>
      <c r="G37" s="98" t="s">
        <v>267</v>
      </c>
      <c r="H37" s="26" t="s">
        <v>306</v>
      </c>
    </row>
    <row r="38">
      <c r="B38" s="80"/>
      <c r="C38" s="25" t="s">
        <v>252</v>
      </c>
      <c r="D38" s="25" t="b">
        <v>0</v>
      </c>
      <c r="E38" s="90" t="s">
        <v>234</v>
      </c>
      <c r="F38" s="90" t="s">
        <v>234</v>
      </c>
      <c r="G38" s="97" t="s">
        <v>267</v>
      </c>
      <c r="H38" s="26" t="s">
        <v>307</v>
      </c>
    </row>
    <row r="39">
      <c r="B39" s="32"/>
      <c r="C39" s="32"/>
      <c r="D39" s="32"/>
      <c r="E39" s="32"/>
      <c r="F39" s="32"/>
      <c r="G39" s="32"/>
    </row>
    <row r="40">
      <c r="B40" s="26"/>
      <c r="C40" s="26"/>
      <c r="D40" s="26"/>
      <c r="E40" s="26"/>
      <c r="F40" s="26"/>
      <c r="G40" s="26"/>
    </row>
    <row r="41">
      <c r="B41" s="106" t="s">
        <v>308</v>
      </c>
      <c r="C41" s="26"/>
      <c r="E41" s="107" t="s">
        <v>309</v>
      </c>
      <c r="F41" s="108"/>
      <c r="G41" s="26"/>
      <c r="H41" s="109" t="s">
        <v>310</v>
      </c>
    </row>
    <row r="42">
      <c r="B42" s="110" t="s">
        <v>311</v>
      </c>
      <c r="C42" s="26"/>
      <c r="E42" s="111" t="s">
        <v>312</v>
      </c>
      <c r="F42" s="27" t="s">
        <v>313</v>
      </c>
      <c r="G42" s="26"/>
      <c r="H42" s="110" t="s">
        <v>62</v>
      </c>
    </row>
    <row r="43">
      <c r="B43" s="112" t="s">
        <v>314</v>
      </c>
      <c r="C43" s="26"/>
      <c r="D43" s="26"/>
      <c r="E43" s="111" t="s">
        <v>110</v>
      </c>
      <c r="F43" s="27" t="s">
        <v>315</v>
      </c>
      <c r="G43" s="26"/>
      <c r="H43" s="112" t="s">
        <v>101</v>
      </c>
    </row>
    <row r="44">
      <c r="B44" s="112" t="s">
        <v>316</v>
      </c>
      <c r="C44" s="26"/>
      <c r="D44" s="26"/>
      <c r="E44" s="111" t="s">
        <v>83</v>
      </c>
      <c r="F44" s="27" t="s">
        <v>317</v>
      </c>
      <c r="G44" s="26"/>
      <c r="H44" s="112" t="s">
        <v>82</v>
      </c>
    </row>
    <row r="45">
      <c r="B45" s="112" t="s">
        <v>153</v>
      </c>
      <c r="C45" s="26"/>
      <c r="D45" s="26"/>
      <c r="E45" s="111" t="s">
        <v>88</v>
      </c>
      <c r="F45" s="27" t="s">
        <v>318</v>
      </c>
      <c r="G45" s="26"/>
      <c r="H45" s="112" t="s">
        <v>94</v>
      </c>
    </row>
    <row r="46">
      <c r="B46" s="112" t="s">
        <v>51</v>
      </c>
      <c r="C46" s="26"/>
      <c r="D46" s="26"/>
      <c r="E46" s="111" t="s">
        <v>100</v>
      </c>
      <c r="F46" s="27" t="s">
        <v>319</v>
      </c>
      <c r="G46" s="26"/>
      <c r="H46" s="113" t="s">
        <v>320</v>
      </c>
    </row>
    <row r="47">
      <c r="B47" s="112" t="s">
        <v>156</v>
      </c>
      <c r="C47" s="26"/>
      <c r="D47" s="26"/>
      <c r="E47" s="111" t="s">
        <v>181</v>
      </c>
      <c r="F47" s="27" t="s">
        <v>321</v>
      </c>
      <c r="G47" s="26"/>
    </row>
    <row r="48">
      <c r="B48" s="112" t="s">
        <v>52</v>
      </c>
      <c r="C48" s="26"/>
      <c r="D48" s="26"/>
      <c r="E48" s="111" t="s">
        <v>322</v>
      </c>
      <c r="F48" s="27" t="s">
        <v>319</v>
      </c>
      <c r="G48" s="26"/>
    </row>
    <row r="49">
      <c r="B49" s="112" t="s">
        <v>53</v>
      </c>
      <c r="C49" s="26"/>
      <c r="D49" s="26"/>
      <c r="E49" s="111" t="s">
        <v>108</v>
      </c>
      <c r="F49" s="27" t="s">
        <v>323</v>
      </c>
      <c r="G49" s="26"/>
    </row>
    <row r="50">
      <c r="B50" s="112" t="s">
        <v>324</v>
      </c>
      <c r="C50" s="26"/>
      <c r="D50" s="26"/>
      <c r="E50" s="114" t="s">
        <v>169</v>
      </c>
      <c r="F50" s="41" t="s">
        <v>325</v>
      </c>
      <c r="G50" s="26"/>
    </row>
    <row r="51">
      <c r="B51" s="112" t="s">
        <v>326</v>
      </c>
      <c r="C51" s="26"/>
      <c r="D51" s="26"/>
      <c r="E51" s="26"/>
      <c r="F51" s="26"/>
      <c r="G51" s="26"/>
    </row>
    <row r="52">
      <c r="B52" s="112" t="s">
        <v>78</v>
      </c>
      <c r="C52" s="26"/>
      <c r="D52" s="26"/>
      <c r="E52" s="26"/>
      <c r="F52" s="26"/>
      <c r="G52" s="26"/>
    </row>
    <row r="53">
      <c r="B53" s="112" t="s">
        <v>172</v>
      </c>
      <c r="C53" s="26"/>
      <c r="D53" s="26"/>
      <c r="E53" s="26"/>
      <c r="F53" s="26"/>
      <c r="G53" s="26"/>
    </row>
    <row r="54">
      <c r="B54" s="113" t="s">
        <v>108</v>
      </c>
      <c r="C54" s="26"/>
      <c r="D54" s="26"/>
      <c r="E54" s="26"/>
      <c r="F54" s="26"/>
      <c r="G54" s="26"/>
    </row>
    <row r="55">
      <c r="B55" s="26"/>
      <c r="C55" s="26"/>
      <c r="D55" s="26"/>
      <c r="E55" s="26"/>
      <c r="F55" s="26"/>
      <c r="G55" s="26"/>
    </row>
    <row r="56">
      <c r="B56" s="26"/>
      <c r="C56" s="26"/>
      <c r="D56" s="26"/>
      <c r="E56" s="26"/>
      <c r="F56" s="26"/>
      <c r="G56" s="26"/>
    </row>
    <row r="57">
      <c r="B57" s="26"/>
      <c r="C57" s="26"/>
      <c r="D57" s="26"/>
      <c r="E57" s="26"/>
      <c r="F57" s="26"/>
      <c r="G57" s="26"/>
    </row>
    <row r="58">
      <c r="B58" s="26"/>
      <c r="C58" s="26"/>
      <c r="D58" s="26"/>
      <c r="E58" s="26"/>
      <c r="F58" s="26"/>
      <c r="G58" s="26"/>
    </row>
    <row r="59">
      <c r="B59" s="26"/>
      <c r="C59" s="26"/>
      <c r="D59" s="26"/>
      <c r="E59" s="26"/>
      <c r="F59" s="26"/>
      <c r="G59" s="26"/>
    </row>
    <row r="60">
      <c r="B60" s="26"/>
      <c r="C60" s="26"/>
      <c r="D60" s="26"/>
      <c r="E60" s="26"/>
      <c r="F60" s="26"/>
      <c r="G60" s="26"/>
    </row>
    <row r="61">
      <c r="B61" s="26"/>
      <c r="C61" s="26"/>
      <c r="D61" s="26"/>
      <c r="E61" s="26"/>
      <c r="F61" s="26"/>
      <c r="G61" s="26"/>
    </row>
    <row r="62">
      <c r="B62" s="26"/>
      <c r="C62" s="26"/>
      <c r="D62" s="26"/>
      <c r="E62" s="26"/>
      <c r="F62" s="26"/>
      <c r="G62" s="26"/>
    </row>
    <row r="63">
      <c r="B63" s="26"/>
      <c r="C63" s="26"/>
      <c r="D63" s="26"/>
      <c r="E63" s="26"/>
      <c r="F63" s="26"/>
      <c r="G63" s="26"/>
    </row>
    <row r="64">
      <c r="B64" s="26"/>
      <c r="C64" s="26"/>
      <c r="D64" s="26"/>
      <c r="E64" s="26"/>
      <c r="F64" s="26"/>
      <c r="G64" s="26"/>
    </row>
    <row r="65">
      <c r="B65" s="26"/>
      <c r="C65" s="26"/>
      <c r="D65" s="26"/>
      <c r="E65" s="26"/>
      <c r="F65" s="26"/>
      <c r="G65" s="26"/>
    </row>
    <row r="66">
      <c r="B66" s="26"/>
      <c r="C66" s="26"/>
      <c r="D66" s="26"/>
      <c r="E66" s="26"/>
      <c r="F66" s="26"/>
      <c r="G66" s="26"/>
    </row>
    <row r="67">
      <c r="B67" s="26"/>
      <c r="C67" s="26"/>
      <c r="D67" s="26"/>
      <c r="E67" s="26"/>
      <c r="F67" s="26"/>
      <c r="G67" s="26"/>
    </row>
    <row r="68">
      <c r="B68" s="26"/>
      <c r="C68" s="26"/>
      <c r="D68" s="26"/>
      <c r="E68" s="26"/>
      <c r="F68" s="26"/>
      <c r="G68" s="26"/>
    </row>
    <row r="69">
      <c r="B69" s="26"/>
      <c r="C69" s="26"/>
      <c r="D69" s="26"/>
      <c r="E69" s="26"/>
      <c r="F69" s="26"/>
      <c r="G69" s="26"/>
    </row>
    <row r="70">
      <c r="B70" s="26"/>
      <c r="C70" s="26"/>
      <c r="D70" s="26"/>
      <c r="E70" s="26"/>
      <c r="F70" s="26"/>
      <c r="G70" s="26"/>
    </row>
    <row r="71">
      <c r="B71" s="26"/>
      <c r="C71" s="26"/>
      <c r="D71" s="26"/>
      <c r="E71" s="26"/>
      <c r="F71" s="26"/>
      <c r="G71" s="26"/>
    </row>
    <row r="72">
      <c r="B72" s="26"/>
      <c r="C72" s="26"/>
      <c r="D72" s="26"/>
      <c r="E72" s="26"/>
      <c r="F72" s="26"/>
      <c r="G72" s="26"/>
    </row>
    <row r="73">
      <c r="B73" s="26"/>
      <c r="C73" s="26"/>
      <c r="D73" s="26"/>
      <c r="E73" s="26"/>
      <c r="F73" s="26"/>
      <c r="G73" s="26"/>
    </row>
    <row r="74">
      <c r="B74" s="26"/>
      <c r="C74" s="26"/>
      <c r="D74" s="26"/>
      <c r="E74" s="26"/>
      <c r="F74" s="26"/>
      <c r="G74" s="26"/>
    </row>
    <row r="75">
      <c r="B75" s="26"/>
      <c r="C75" s="26"/>
      <c r="D75" s="26"/>
      <c r="E75" s="26"/>
      <c r="F75" s="26"/>
      <c r="G75" s="26"/>
    </row>
    <row r="76">
      <c r="B76" s="26"/>
      <c r="C76" s="26"/>
      <c r="D76" s="26"/>
      <c r="E76" s="26"/>
      <c r="F76" s="26"/>
      <c r="G76" s="26"/>
    </row>
    <row r="77">
      <c r="B77" s="26"/>
      <c r="C77" s="26"/>
      <c r="D77" s="26"/>
      <c r="E77" s="26"/>
      <c r="F77" s="26"/>
      <c r="G77" s="26"/>
    </row>
    <row r="78">
      <c r="B78" s="26"/>
      <c r="C78" s="26"/>
      <c r="D78" s="26"/>
      <c r="E78" s="26"/>
      <c r="F78" s="26"/>
      <c r="G78" s="26"/>
    </row>
    <row r="79">
      <c r="B79" s="26"/>
      <c r="C79" s="26"/>
      <c r="D79" s="26"/>
      <c r="E79" s="26"/>
      <c r="F79" s="26"/>
      <c r="G79" s="26"/>
    </row>
    <row r="80">
      <c r="B80" s="26"/>
      <c r="C80" s="26"/>
      <c r="D80" s="26"/>
      <c r="E80" s="26"/>
      <c r="F80" s="26"/>
      <c r="G80" s="26"/>
    </row>
    <row r="81">
      <c r="B81" s="26"/>
      <c r="C81" s="26"/>
      <c r="D81" s="26"/>
      <c r="E81" s="26"/>
      <c r="F81" s="26"/>
      <c r="G81" s="26"/>
    </row>
    <row r="82">
      <c r="B82" s="26"/>
      <c r="C82" s="26"/>
      <c r="D82" s="26"/>
      <c r="E82" s="26"/>
      <c r="F82" s="26"/>
      <c r="G82" s="26"/>
    </row>
    <row r="83">
      <c r="B83" s="26"/>
      <c r="C83" s="26"/>
      <c r="D83" s="26"/>
      <c r="E83" s="26"/>
      <c r="F83" s="26"/>
      <c r="G83" s="26"/>
    </row>
    <row r="84">
      <c r="B84" s="26"/>
      <c r="C84" s="26"/>
      <c r="D84" s="26"/>
      <c r="E84" s="26"/>
      <c r="F84" s="26"/>
      <c r="G84" s="26"/>
    </row>
    <row r="85">
      <c r="B85" s="26"/>
      <c r="C85" s="26"/>
      <c r="D85" s="26"/>
      <c r="E85" s="26"/>
      <c r="F85" s="26"/>
      <c r="G85" s="26"/>
    </row>
    <row r="86">
      <c r="B86" s="26"/>
      <c r="C86" s="26"/>
      <c r="D86" s="26"/>
      <c r="E86" s="26"/>
      <c r="F86" s="26"/>
      <c r="G86" s="26"/>
    </row>
    <row r="87">
      <c r="B87" s="26"/>
      <c r="C87" s="26"/>
      <c r="D87" s="26"/>
      <c r="E87" s="26"/>
      <c r="F87" s="26"/>
      <c r="G87" s="26"/>
    </row>
    <row r="88">
      <c r="B88" s="26"/>
      <c r="C88" s="26"/>
      <c r="D88" s="26"/>
      <c r="E88" s="26"/>
      <c r="F88" s="26"/>
      <c r="G88" s="26"/>
    </row>
    <row r="89">
      <c r="B89" s="26"/>
      <c r="C89" s="26"/>
      <c r="D89" s="26"/>
      <c r="E89" s="26"/>
      <c r="F89" s="26"/>
      <c r="G89" s="26"/>
    </row>
    <row r="90">
      <c r="B90" s="26"/>
      <c r="C90" s="26"/>
      <c r="D90" s="26"/>
      <c r="E90" s="26"/>
      <c r="F90" s="26"/>
      <c r="G90" s="26"/>
    </row>
    <row r="91">
      <c r="B91" s="26"/>
      <c r="C91" s="26"/>
      <c r="D91" s="26"/>
      <c r="E91" s="26"/>
      <c r="F91" s="26"/>
      <c r="G91" s="26"/>
    </row>
    <row r="92">
      <c r="B92" s="26"/>
      <c r="C92" s="26"/>
      <c r="D92" s="26"/>
      <c r="E92" s="26"/>
      <c r="F92" s="26"/>
      <c r="G92" s="26"/>
    </row>
    <row r="93">
      <c r="B93" s="26"/>
      <c r="C93" s="26"/>
      <c r="D93" s="26"/>
      <c r="E93" s="26"/>
      <c r="F93" s="26"/>
      <c r="G93" s="26"/>
    </row>
    <row r="94">
      <c r="B94" s="26"/>
      <c r="C94" s="26"/>
      <c r="D94" s="26"/>
      <c r="E94" s="26"/>
      <c r="F94" s="26"/>
      <c r="G94" s="26"/>
    </row>
    <row r="95">
      <c r="B95" s="26"/>
      <c r="C95" s="26"/>
      <c r="D95" s="26"/>
      <c r="E95" s="26"/>
      <c r="F95" s="26"/>
      <c r="G95" s="26"/>
    </row>
    <row r="96">
      <c r="B96" s="26"/>
      <c r="C96" s="26"/>
      <c r="D96" s="26"/>
      <c r="E96" s="26"/>
      <c r="F96" s="26"/>
      <c r="G96" s="26"/>
    </row>
    <row r="97">
      <c r="B97" s="26"/>
      <c r="C97" s="26"/>
      <c r="D97" s="26"/>
      <c r="E97" s="26"/>
      <c r="F97" s="26"/>
      <c r="G97" s="26"/>
    </row>
    <row r="98">
      <c r="B98" s="26"/>
      <c r="C98" s="26"/>
      <c r="D98" s="26"/>
      <c r="E98" s="26"/>
      <c r="F98" s="26"/>
      <c r="G98" s="26"/>
    </row>
    <row r="99">
      <c r="B99" s="26"/>
      <c r="C99" s="26"/>
      <c r="D99" s="26"/>
      <c r="E99" s="26"/>
      <c r="F99" s="26"/>
      <c r="G99" s="26"/>
    </row>
    <row r="100">
      <c r="B100" s="26"/>
      <c r="C100" s="26"/>
      <c r="D100" s="26"/>
      <c r="E100" s="26"/>
      <c r="F100" s="26"/>
      <c r="G100" s="26"/>
    </row>
    <row r="101">
      <c r="B101" s="26"/>
      <c r="C101" s="26"/>
      <c r="D101" s="26"/>
      <c r="E101" s="26"/>
      <c r="F101" s="26"/>
      <c r="G101" s="26"/>
    </row>
    <row r="102">
      <c r="B102" s="26"/>
      <c r="C102" s="26"/>
      <c r="D102" s="26"/>
      <c r="E102" s="26"/>
      <c r="F102" s="26"/>
      <c r="G102" s="26"/>
    </row>
    <row r="103">
      <c r="B103" s="26"/>
      <c r="C103" s="26"/>
      <c r="D103" s="26"/>
      <c r="E103" s="26"/>
      <c r="F103" s="26"/>
      <c r="G103" s="26"/>
    </row>
    <row r="104">
      <c r="B104" s="26"/>
      <c r="C104" s="26"/>
      <c r="D104" s="26"/>
      <c r="E104" s="26"/>
      <c r="F104" s="26"/>
      <c r="G104" s="26"/>
    </row>
    <row r="105">
      <c r="B105" s="26"/>
      <c r="C105" s="26"/>
      <c r="D105" s="26"/>
      <c r="E105" s="26"/>
      <c r="F105" s="26"/>
      <c r="G105" s="26"/>
    </row>
    <row r="106">
      <c r="B106" s="26"/>
      <c r="C106" s="26"/>
      <c r="D106" s="26"/>
      <c r="E106" s="26"/>
      <c r="F106" s="26"/>
      <c r="G106" s="26"/>
    </row>
    <row r="107">
      <c r="B107" s="26"/>
      <c r="C107" s="26"/>
      <c r="D107" s="26"/>
      <c r="E107" s="26"/>
      <c r="F107" s="26"/>
      <c r="G107" s="26"/>
    </row>
    <row r="108">
      <c r="B108" s="26"/>
      <c r="C108" s="26"/>
      <c r="D108" s="26"/>
      <c r="E108" s="26"/>
      <c r="F108" s="26"/>
      <c r="G108" s="26"/>
    </row>
    <row r="109">
      <c r="B109" s="26"/>
      <c r="C109" s="26"/>
      <c r="D109" s="26"/>
      <c r="E109" s="26"/>
      <c r="F109" s="26"/>
      <c r="G109" s="26"/>
    </row>
    <row r="110">
      <c r="B110" s="26"/>
      <c r="C110" s="26"/>
      <c r="D110" s="26"/>
      <c r="E110" s="26"/>
      <c r="F110" s="26"/>
      <c r="G110" s="26"/>
    </row>
    <row r="111">
      <c r="B111" s="26"/>
      <c r="C111" s="26"/>
      <c r="D111" s="26"/>
      <c r="E111" s="26"/>
      <c r="F111" s="26"/>
      <c r="G111" s="26"/>
    </row>
    <row r="112">
      <c r="B112" s="26"/>
      <c r="C112" s="26"/>
      <c r="D112" s="26"/>
      <c r="E112" s="26"/>
      <c r="F112" s="26"/>
      <c r="G112" s="26"/>
    </row>
    <row r="113">
      <c r="B113" s="26"/>
      <c r="C113" s="26"/>
      <c r="D113" s="26"/>
      <c r="E113" s="26"/>
      <c r="F113" s="26"/>
      <c r="G113" s="26"/>
    </row>
    <row r="114">
      <c r="B114" s="26"/>
      <c r="C114" s="26"/>
      <c r="D114" s="26"/>
      <c r="E114" s="26"/>
      <c r="F114" s="26"/>
      <c r="G114" s="26"/>
    </row>
    <row r="115">
      <c r="B115" s="26"/>
      <c r="C115" s="26"/>
      <c r="D115" s="26"/>
      <c r="E115" s="26"/>
      <c r="F115" s="26"/>
      <c r="G115" s="26"/>
    </row>
    <row r="116">
      <c r="B116" s="26"/>
      <c r="C116" s="26"/>
      <c r="D116" s="26"/>
      <c r="E116" s="26"/>
      <c r="F116" s="26"/>
      <c r="G116" s="26"/>
    </row>
    <row r="117">
      <c r="B117" s="26"/>
      <c r="C117" s="26"/>
      <c r="D117" s="26"/>
      <c r="E117" s="26"/>
      <c r="F117" s="26"/>
      <c r="G117" s="26"/>
    </row>
    <row r="118">
      <c r="B118" s="26"/>
      <c r="C118" s="26"/>
      <c r="D118" s="26"/>
      <c r="E118" s="26"/>
      <c r="F118" s="26"/>
      <c r="G118" s="26"/>
    </row>
    <row r="119">
      <c r="B119" s="26"/>
      <c r="C119" s="26"/>
      <c r="D119" s="26"/>
      <c r="E119" s="26"/>
      <c r="F119" s="26"/>
      <c r="G119" s="26"/>
    </row>
    <row r="120">
      <c r="B120" s="26"/>
      <c r="C120" s="26"/>
      <c r="D120" s="26"/>
      <c r="E120" s="26"/>
      <c r="F120" s="26"/>
      <c r="G120" s="26"/>
    </row>
    <row r="121">
      <c r="B121" s="26"/>
      <c r="C121" s="26"/>
      <c r="D121" s="26"/>
      <c r="E121" s="26"/>
      <c r="F121" s="26"/>
      <c r="G121" s="26"/>
    </row>
    <row r="122">
      <c r="B122" s="26"/>
      <c r="C122" s="26"/>
      <c r="D122" s="26"/>
      <c r="E122" s="26"/>
      <c r="F122" s="26"/>
      <c r="G122" s="26"/>
    </row>
    <row r="123">
      <c r="B123" s="26"/>
      <c r="C123" s="26"/>
      <c r="D123" s="26"/>
      <c r="E123" s="26"/>
      <c r="F123" s="26"/>
      <c r="G123" s="26"/>
    </row>
    <row r="124">
      <c r="B124" s="26"/>
      <c r="C124" s="26"/>
      <c r="D124" s="26"/>
      <c r="E124" s="26"/>
      <c r="F124" s="26"/>
      <c r="G124" s="26"/>
    </row>
    <row r="125">
      <c r="B125" s="26"/>
      <c r="C125" s="26"/>
      <c r="D125" s="26"/>
      <c r="E125" s="26"/>
      <c r="F125" s="26"/>
      <c r="G125" s="26"/>
    </row>
    <row r="126">
      <c r="B126" s="26"/>
      <c r="C126" s="26"/>
      <c r="D126" s="26"/>
      <c r="E126" s="26"/>
      <c r="F126" s="26"/>
      <c r="G126" s="26"/>
    </row>
    <row r="127">
      <c r="B127" s="26"/>
      <c r="C127" s="26"/>
      <c r="D127" s="26"/>
      <c r="E127" s="26"/>
      <c r="F127" s="26"/>
      <c r="G127" s="26"/>
    </row>
    <row r="128">
      <c r="B128" s="26"/>
      <c r="C128" s="26"/>
      <c r="D128" s="26"/>
      <c r="E128" s="26"/>
      <c r="F128" s="26"/>
      <c r="G128" s="26"/>
    </row>
    <row r="129">
      <c r="B129" s="26"/>
      <c r="C129" s="26"/>
      <c r="D129" s="26"/>
      <c r="E129" s="26"/>
      <c r="F129" s="26"/>
      <c r="G129" s="26"/>
    </row>
    <row r="130">
      <c r="B130" s="26"/>
      <c r="C130" s="26"/>
      <c r="D130" s="26"/>
      <c r="E130" s="26"/>
      <c r="F130" s="26"/>
      <c r="G130" s="26"/>
    </row>
    <row r="131">
      <c r="B131" s="26"/>
      <c r="C131" s="26"/>
      <c r="D131" s="26"/>
      <c r="E131" s="26"/>
      <c r="F131" s="26"/>
      <c r="G131" s="26"/>
    </row>
    <row r="132">
      <c r="B132" s="26"/>
      <c r="C132" s="26"/>
      <c r="D132" s="26"/>
      <c r="E132" s="26"/>
      <c r="F132" s="26"/>
      <c r="G132" s="26"/>
    </row>
    <row r="133">
      <c r="B133" s="26"/>
      <c r="C133" s="26"/>
      <c r="D133" s="26"/>
      <c r="E133" s="26"/>
      <c r="F133" s="26"/>
      <c r="G133" s="26"/>
    </row>
    <row r="134">
      <c r="B134" s="26"/>
      <c r="C134" s="26"/>
      <c r="D134" s="26"/>
      <c r="E134" s="26"/>
      <c r="F134" s="26"/>
      <c r="G134" s="26"/>
    </row>
    <row r="135">
      <c r="B135" s="26"/>
      <c r="C135" s="26"/>
      <c r="D135" s="26"/>
      <c r="E135" s="26"/>
      <c r="F135" s="26"/>
      <c r="G135" s="26"/>
    </row>
  </sheetData>
  <mergeCells count="2">
    <mergeCell ref="B3:G4"/>
    <mergeCell ref="E41:F4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3" max="3" width="14.88"/>
    <col customWidth="1" min="4" max="47" width="7.63"/>
  </cols>
  <sheetData>
    <row r="4">
      <c r="B4" s="1" t="s">
        <v>0</v>
      </c>
      <c r="C4" s="2" t="str">
        <f>IFERROR(__xludf.DUMMYFUNCTION("JOIN("""", TOROW(MAP({D40:AU60}, LAMBDA(cell, IF(ISBLANK(cell), DEC2HEX(255, 2), DEC2HEX(cell, 2)) ))))"),"01000000000000000000000000000800000B11002A2605000101181708000A0C040C0A0D030E14191E1D303001010101010101010101010101010801010B11012A2606010101181608010A0C040C0A0D030E14191E1D303001000202020202020202020202020802020B11022B2705000101181708000A0C040C0A0D030E141"&amp;"91F1D303001010303030303030303030303030803030B11032B2706010101181608010A0C040C0A0D030E14191F1D3030000004040404040404FF040404040804040B11042B2705000101041709000B0C040C0A0D030E14191F1D3030000005050505050505FF050505050805050B11052C2805000101041709040B0C040C0A"&amp;"0D030E1419201D303001010606060606060606060606060806060B11062C2805000101051709000A0C040C0A0D030E1419201D303001010707070707070707070707070707070B11072C2805070101071708010A0C000C0A0D030E1419201D3030010108080808080808FF080808080808080B11082C2805000101081708000"&amp;"A0C040C0A0D030E1419201D3030000009090909090909FF090909090909090B11092D2905030101031709000B0C040C0B0D030E1419211D303001000A0A0A0A0A0A0A0A0A0A0A0A0A0A0A0B110A2D2905180101001708000A0C040C0A0D030E1419211D303000000C0C0C0C0C0C0C0C0C0C0C0C0C0C0C0C0C0C2D290F0F0F0F"&amp;"0F0F0F0F0F0F0F0F0F0F0F0F0F0F211D303000000D0D0D0D0D0D0D0D0D0D0D0D0D0D0D0D0D0D2D29101010101010101010101010101010101010211D303000000E0E0E0E0E0E0E0E0E0E0E0E0E0E0E0E0E0E2D29111111111111111111111111111111111111211D303000000F0F0F0F0F0F0F0F0F0F0F0F0F0F0F0F0F0F2D2"&amp;"9121212121212121212121212121212121212211D303000001010101010101010101010101010101010102D29131313131313131313131313131313131313211D303000001212121212121212121212121212121212122D29151515151515151515151515151515151515211D30300000101010101010101010101010101010"&amp;"1010102D29151515151515151515151515151515151515211D303000001313131313131313131313131313131313132D29030303030303030303030303030303030303211D303000002E2E2E2E2E2E2E2E2E2E2E2E2E2E2E2E2E2E2D29222222222222222222222222222222222222211D30300000252525252525252525242"&amp;"5242524252425242D291C1C1C1C1C1C1C1C1C1C1C1C1C1C1C1C1C1C211D3030")</f>
        <v>01000000000000000000000000000800000B11002A2605000101181708000A0C040C0A0D030E14191E1D303001010101010101010101010101010801010B11012A2606010101181608010A0C040C0A0D030E14191E1D303001000202020202020202020202020802020B11022B2705000101181708000A0C040C0A0D030E14191F1D303001010303030303030303030303030803030B11032B2706010101181608010A0C040C0A0D030E14191F1D3030000004040404040404FF040404040804040B11042B2705000101041709000B0C040C0A0D030E14191F1D3030000005050505050505FF050505050805050B11052C2805000101041709040B0C040C0A0D030E1419201D303001010606060606060606060606060806060B11062C2805000101051709000A0C040C0A0D030E1419201D303001010707070707070707070707070707070B11072C2805070101071708010A0C000C0A0D030E1419201D3030010108080808080808FF080808080808080B11082C2805000101081708000A0C040C0A0D030E1419201D3030000009090909090909FF090909090909090B11092D2905030101031709000B0C040C0B0D030E1419211D303001000A0A0A0A0A0A0A0A0A0A0A0A0A0A0A0B110A2D2905180101001708000A0C040C0A0D030E1419211D303000000C0C0C0C0C0C0C0C0C0C0C0C0C0C0C0C0C0C2D290F0F0F0F0F0F0F0F0F0F0F0F0F0F0F0F0F0F211D303000000D0D0D0D0D0D0D0D0D0D0D0D0D0D0D0D0D0D2D29101010101010101010101010101010101010211D303000000E0E0E0E0E0E0E0E0E0E0E0E0E0E0E0E0E0E2D29111111111111111111111111111111111111211D303000000F0F0F0F0F0F0F0F0F0F0F0F0F0F0F0F0F0F2D29121212121212121212121212121212121212211D303000001010101010101010101010101010101010102D29131313131313131313131313131313131313211D303000001212121212121212121212121212121212122D29151515151515151515151515151515151515211D303000001010101010101010101010101010101010102D29151515151515151515151515151515151515211D303000001313131313131313131313131313131313132D29030303030303030303030303030303030303211D303000002E2E2E2E2E2E2E2E2E2E2E2E2E2E2E2E2E2E2D29222222222222222222222222222222222222211D303000002525252525252525252425242524252425242D291C1C1C1C1C1C1C1C1C1C1C1C1C1C1C1C1C1C211D3030</v>
      </c>
      <c r="D4" s="3"/>
      <c r="E4" s="3"/>
      <c r="F4" s="3"/>
      <c r="G4" s="3"/>
      <c r="H4" s="3"/>
      <c r="I4" s="3"/>
      <c r="J4" s="3"/>
      <c r="K4" s="3"/>
      <c r="L4" s="3"/>
      <c r="M4" s="4"/>
      <c r="P4" s="5" t="s">
        <v>1</v>
      </c>
      <c r="Q4" s="4"/>
      <c r="R4" s="2" t="str">
        <f>IFERROR(__xludf.DUMMYFUNCTION("JOIN("""", TOROW(MAP({D40:AU122}, LAMBDA(cell, IF(ISBLANK(cell), DEC2HEX(255, 2), DEC2HEX(cell, 2)) ))))"),"01000000000000000000000000000800000B11002A2605000101181708000A0C040C0A0D030E14191E1D303001010101010101010101010101010801010B11012A2606010101181608010A0C040C0A0D030E14191E1D303001000202020202020202020202020802020B11022B2705000101181708000A0C040C0A0D030E141"&amp;"91F1D303001010303030303030303030303030803030B11032B2706010101181608010A0C040C0A0D030E14191F1D3030000004040404040404FF040404040804040B11042B2705000101041709000B0C040C0A0D030E14191F1D3030000005050505050505FF050505050805050B11052C2805000101041709040B0C040C0A"&amp;"0D030E1419201D303001010606060606060606060606060806060B11062C2805000101051709000A0C040C0A0D030E1419201D303001010707070707070707070707070707070B11072C2805070101071708010A0C000C0A0D030E1419201D3030010108080808080808FF080808080808080B11082C2805000101081708000"&amp;"A0C040C0A0D030E1419201D3030000009090909090909FF090909090909090B11092D2905030101031709000B0C040C0B0D030E1419211D303001000A0A0A0A0A0A0A0A0A0A0A0A0A0A0A0B110A2D2905180101001708000A0C040C0A0D030E1419211D303000000C0C0C0C0C0C0C0C0C0C0C0C0C0C0C0C0C0C2D290F0F0F0F"&amp;"0F0F0F0F0F0F0F0F0F0F0F0F0F0F211D303000000D0D0D0D0D0D0D0D0D0D0D0D0D0D0D0D0D0D2D29101010101010101010101010101010101010211D303000000E0E0E0E0E0E0E0E0E0E0E0E0E0E0E0E0E0E2D29111111111111111111111111111111111111211D303000000F0F0F0F0F0F0F0F0F0F0F0F0F0F0F0F0F0F2D2"&amp;"9121212121212121212121212121212121212211D303000001010101010101010101010101010101010102D29131313131313131313131313131313131313211D303000001212121212121212121212121212121212122D29151515151515151515151515151515151515211D30300000101010101010101010101010101010"&amp;"1010102D29151515151515151515151515151515151515211D303000001313131313131313131313131313131313132D29030303030303030303030303030303030303211D303000002E2E2E2E2E2E2E2E2E2E2E2E2E2E2E2E2E2E2D29222222222222222222222222222222222222211D30300000252525252525252525242"&amp;"5242524252425242D291C1C1C1C1C1C1C1C1C1C1C1C1C1C1C1C1C1C211D30300000FFFFFFFFFFFFFFFFFFFFFFFFFFFFFFFFFFFFFFFFFFFFFFFFFFFFFFFFFFFFFFFFFFFFFFFFFFFFFFFF30300101FFFFFFFFFFFFFFFFFFFFFFFFFFFFFFFFFFFFFFFFFFFFFFFFFFFFFFFFFFFFFFFFFFFFFFFFFFFFFFFF30300101FFFFFFFFFFFF"&amp;"FFFFFFFFFFFFFFFFFFFFFFFFFFFFFFFFFFFFFFFFFFFFFFFFFFFFFFFFFFFFFFFFFFFF30300101FFFFFFFFFFFFFFFFFFFFFFFFFFFFFFFFFFFFFFFFFFFFFFFFFFFFFFFFFFFFFFFFFFFFFFFFFFFFFFFF30300101FFFFFFFFFFFFFFFFFFFFFFFFFFFFFFFFFFFFFFFFFFFFFFFFFFFFFFFFFFFFFFFFFFFFFFFFFFFFFFFF30300101FFF"&amp;"FFFFFFFFFFFFFFFFFFFFFFFFFFFFFFFFFFFFFFFFFFFFFFFFFFFFFFFFFFFFFFFFFFFFFFFFFFFFF30300000FFFFFFFFFFFFFFFFFFFFFFFFFFFFFFFFFFFFFFFFFFFFFFFFFFFFFFFFFFFFFFFFFFFFFFFFFFFFFFFF30300000FFFFFFFFFFFFFFFFFFFFFFFFFFFFFFFFFFFFFFFFFFFFFFFFFFFFFFFFFFFFFFFFFFFFFFFFFFFFFFFF30"&amp;"300101FFFFFFFFFFFFFFFFFFFFFFFFFFFFFFFFFFFFFFFFFFFFFFFFFFFFFFFFFFFFFFFFFFFFFFFFFFFFFFFF30300101FFFFFFFFFFFFFFFFFFFFFFFFFFFFFFFFFFFFFFFFFFFFFFFFFFFFFFFFFFFFFFFFFFFFFFFFFFFFFFFF30300101FFFFFFFFFFFFFFFFFFFFFFFFFFFFFFFFFFFFFFFFFFFFFFFFFFFFFFFFFFFFFFFFFFFFFFFFF"&amp;"FFFFFFF30300101FFFFFFFFFFFFFFFFFFFFFFFFFFFFFFFFFFFFFFFFFFFFFFFFFFFFFFFFFFFFFFFFFFFFFFFFFFFFFFFF30300101FFFFFFFFFFFFFFFFFFFFFFFFFFFFFFFFFFFFFFFFFFFFFFFFFFFFFFFFFFFFFFFFFFFFFFFFFFFFFFFF30300101FFFFFFFFFFFFFFFFFFFFFFFFFFFFFFFFFFFFFFFFFFFFFFFFFFFFFFFFFFFFFFFF"&amp;"FFFFFFFFFFFFFFFF30300100FFFFFFFFFFFFFFFFFFFFFFFFFFFFFFFFFFFFFFFFFFFFFFFFFFFFFFFFFFFFFFFFFFFFFFFFFFFFFFFF30300100FFFFFFFFFFFFFFFFFFFFFFFFFFFFFFFFFFFFFFFFFFFFFFFFFFFFFFFFFFFFFFFFFFFFFFFFFFFFFFFF30300100FFFFFFFFFFFFFFFFFFFFFFFFFFFFFFFFFFFFFFFFFFFFFFFFFFFFFFF"&amp;"FFFFFFFFFFFFFFFFFFFFFFFFF30300101FFFFFFFFFFFFFFFFFFFFFFFFFFFFFFFFFFFFFFFFFFFFFFFFFFFFFFFFFFFFFFFFFFFFFFFFFFFFFFFF30300101FFFFFFFFFFFFFFFFFFFFFFFFFFFFFFFFFFFFFFFFFFFFFFFFFFFFFFFFFFFFFFFFFFFFFFFFFFFFFFFF30300101FFFFFFFFFFFFFFFFFFFFFFFFFFFFFFFFFFFFFFFFFFFFFF"&amp;"FFFFFFFFFFFFFFFFFFFFFFFFFFFFFFFFFF30300000FFFFFFFFFFFFFFFFFFFFFFFFFFFFFFFFFFFFFFFFFFFFFFFFFFFFFFFFFFFFFFFFFFFFFFFFFFFFFFFF30300100FFFFFFFFFFFFFFFFFFFFFFFFFFFFFFFFFFFFFFFFFFFFFFFFFFFFFFFFFFFFFFFFFFFFFFFFFFFFFFFF30300100FFFFFFFFFFFFFFFFFFFFFFFFFFFFFFFFFFFFF"&amp;"FFFFFFFFFFFFFFFFFFFFFFFFFFFFFFFFFFFFFFFFFFF30300100FFFFFFFFFFFFFFFFFFFFFFFFFFFFFFFFFFFFFFFFFFFFFFFFFFFFFFFFFFFFFFFFFFFFFFFFFFFFFFFF30300000FFFFFFFFFFFFFFFFFFFFFFFFFFFFFFFFFFFFFFFFFFFFFFFFFFFFFFFFFFFFFFFFFFFFFFFFFFFFFFFF30300000FFFFFFFFFFFFFFFFFFFFFFFFFFFF"&amp;"FFFFFFFFFFFFFFFFFFFFFFFFFFFFFFFFFFFFFFFFFFFFFFFFFFFF30300101FFFFFFFFFFFFFFFFFFFFFFFFFFFFFFFFFFFFFFFFFFFFFFFFFFFFFFFFFFFFFFFFFFFFFFFFFFFFFFFF30300100FFFFFFFFFFFFFFFFFFFFFFFFFFFFFFFFFFFFFFFFFFFFFFFFFFFFFFFFFFFFFFFFFFFFFFFFFFFFFFFF30300100FFFFFFFFFFFFFFFFFFF"&amp;"FFFFFFFFFFFFFFFFFFFFFFFFFFFFFFFFFFFFFFFFFFFFFFFFFFFFFFFFFFFFF30300100FFFFFFFFFFFFFFFFFFFFFFFFFFFFFFFFFFFFFFFFFFFFFFFFFFFFFFFFFFFFFFFFFFFFFFFFFFFFFFFF30300101FFFFFFFFFFFFFFFFFFFFFFFFFFFFFFFFFFFFFFFFFFFFFFFFFFFFFFFFFFFFFFFFFFFFFFFFFFFFFFFF30300101FFFFFFFFFF"&amp;"FFFFFFFFFFFFFFFFFFFFFFFFFFFFFFFFFFFFFFFFFFFFFFFFFFFFFFFFFFFFFFFFFFFFFF30300101FFFFFFFFFFFFFFFFFFFFFFFFFFFFFFFFFFFFFFFFFFFFFFFFFFFFFFFFFFFFFFFFFFFFFFFFFFFFFFFF30300101FFFFFFFFFFFFFFFFFFFFFFFFFFFFFFFFFFFFFFFFFFFFFFFFFFFFFFFFFFFFFFFFFFFFFFFFFFFFFFFF30300100F"&amp;"FFFFFFFFFFFFFFFFFFFFFFFFFFFFFFFFFFFFFFFFFFFFFFFFFFFFFFFFFFFFFFFFFFFFFFFFFFFFFFF30300100FFFFFFFFFFFFFFFFFFFFFFFFFFFFFFFFFFFFFFFFFFFFFFFFFFFFFFFFFFFFFFFFFFFFFFFFFFFFFFFF30300100FFFFFFFFFFFFFFFFFFFFFFFFFFFFFFFFFFFFFFFFFFFFFFFFFFFFFFFFFFFFFFFFFFFFFFFFFFFFFFFF"&amp;"30300100FFFFFFFFFFFFFFFFFFFFFFFFFFFFFFFFFFFFFFFFFFFFFFFFFFFFFFFFFFFFFFFFFFFFFFFFFFFFFFFF30300100FFFFFFFFFFFFFFFFFFFFFFFFFFFFFFFFFFFFFFFFFFFFFFFFFFFFFFFFFFFFFFFFFFFFFFFFFFFFFFFF30300000FFFFFFFFFFFFFFFFFFFFFFFFFFFFFFFFFFFFFFFFFFFFFFFFFFFFFFFFFFFFFFFFFFFFFFF"&amp;"FFFFFFFFF30300100FFFFFFFFFFFFFFFFFFFFFFFFFFFFFFFFFFFFFFFFFFFFFFFFFFFFFFFFFFFFFFFFFFFFFFFFFFFFFFFF30300101FFFFFFFFFFFFFFFFFFFFFFFFFFFFFFFFFFFFFFFFFFFFFFFFFFFFFFFFFFFFFFFFFFFFFFFFFFFFFFFF30300101FFFFFFFFFFFFFFFFFFFFFFFFFFFFFFFFFFFFFFFFFFFFFFFFFFFFFFFFFFFFFF"&amp;"FFFFFFFFFFFFFFFFFF30300101FFFFFFFFFFFFFFFFFFFFFFFFFFFFFFFFFFFFFFFFFFFFFFFFFFFFFFFFFFFFFFFFFFFFFFFFFFFFFFFF30300101FFFFFFFFFFFFFFFFFFFFFFFFFFFFFFFFFFFFFFFFFFFFFFFFFFFFFFFFFFFFFFFFFFFFFFFFFFFFFFFF30300101FFFFFFFFFFFFFFFFFFFFFFFFFFFFFFFFFFFFFFFFFFFFFFFFFFFFF"&amp;"FFFFFFFFFFFFFFFFFFFFFFFFFFF30300101FFFFFFFFFFFFFFFFFFFFFFFFFFFFFFFFFFFFFFFFFFFFFFFFFFFFFFFFFFFFFFFFFFFFFFFFFFFFFFFF30300100FFFFFFFFFFFFFFFFFFFFFFFFFFFFFFFFFFFFFFFFFFFFFFFFFFFFFFFFFFFFFFFFFFFFFFFFFFFFFFFF30300000FFFFFFFFFFFFFFFFFFFFFFFFFFFFFFFFFFFFFFFFFFFF"&amp;"FFFFFFFFFFFFFFFFFFFFFFFFFFFFFFFFFFFF30300000FFFFFFFFFFFFFFFFFFFFFFFFFFFFFFFFFFFFFFFFFFFFFFFFFFFFFFFFFFFFFFFFFFFFFFFFFFFFFFFF30300101FFFFFFFFFFFFFFFFFFFFFFFFFFFFFFFFFFFFFFFFFFFFFFFFFFFFFFFFFFFFFFFFFFFFFFFFFFFFFFFF30300100FFFFFFFFFFFFFFFFFFFFFFFFFFFFFFFFFFF"&amp;"FFFFFFFFFFFFFFFFFFFFFFFFFFFFFFFFFFFFFFFFFFFFF30300101FFFFFFFFFFFFFFFFFFFFFFFFFFFFFFFFFFFFFFFFFFFFFFFFFFFFFFFFFFFFFFFFFFFFFFFFFFFFFFFF30300101FFFFFFFFFFFFFFFFFFFFFFFFFFFFFFFFFFFFFFFFFFFFFFFFFFFFFFFFFFFFFFFFFFFFFFFFFFFFFFFF30300000FFFFFFFFFFFFFFFFFFFFFFFFFF"&amp;"FFFFFFFFFFFFFFFFFFFFFFFFFFFFFFFFFFFFFFFFFFFFFFFFFFFFFF30300000FFFFFFFFFFFFFFFFFFFFFFFFFFFFFFFFFFFFFFFFFFFFFFFFFFFFFFFFFFFFFFFFFFFFFFFFFFFFFFFF30300100FFFFFFFFFFFFFFFFFFFFFFFFFFFFFFFFFFFFFFFFFFFFFFFFFFFFFFFFFFFFFFFFFFFFFFFFFFFFFFFF30300101FFFFFFFFFFFFFFFFF"&amp;"FFFFFFFFFFFFFFFFFFFFFFFFFFFFFFFFFFFFFFFFFFFFFFFFFFFFFFFFFFFFFFF30300101FFFFFFFFFFFFFFFFFFFFFFFFFFFFFFFFFFFFFFFFFFFFFFFFFFFFFFFFFFFFFFFFFFFFFFFFFFFFFFFF30300000FFFFFFFFFFFFFFFFFFFFFFFFFFFFFFFFFFFFFFFFFFFFFFFFFFFFFFFFFFFFFFFFFFFFFFFFFFFFFFFF30300100FFFFFFFF"&amp;"FFFFFFFFFFFFFFFFFFFFFFFFFFFFFFFFFFFFFFFFFFFFFFFFFFFFFFFFFFFFFFFFFFFFFFFF30300100FFFFFFFFFFFFFFFFFFFFFFFFFFFFFFFFFFFFFFFFFFFFFFFFFFFFFFFFFFFFFFFFFFFFFFFFFFFFFFFF3030")</f>
        <v>01000000000000000000000000000800000B11002A2605000101181708000A0C040C0A0D030E14191E1D303001010101010101010101010101010801010B11012A2606010101181608010A0C040C0A0D030E14191E1D303001000202020202020202020202020802020B11022B2705000101181708000A0C040C0A0D030E14191F1D303001010303030303030303030303030803030B11032B2706010101181608010A0C040C0A0D030E14191F1D3030000004040404040404FF040404040804040B11042B2705000101041709000B0C040C0A0D030E14191F1D3030000005050505050505FF050505050805050B11052C2805000101041709040B0C040C0A0D030E1419201D303001010606060606060606060606060806060B11062C2805000101051709000A0C040C0A0D030E1419201D303001010707070707070707070707070707070B11072C2805070101071708010A0C000C0A0D030E1419201D3030010108080808080808FF080808080808080B11082C2805000101081708000A0C040C0A0D030E1419201D3030000009090909090909FF090909090909090B11092D2905030101031709000B0C040C0B0D030E1419211D303001000A0A0A0A0A0A0A0A0A0A0A0A0A0A0A0B110A2D2905180101001708000A0C040C0A0D030E1419211D303000000C0C0C0C0C0C0C0C0C0C0C0C0C0C0C0C0C0C2D290F0F0F0F0F0F0F0F0F0F0F0F0F0F0F0F0F0F211D303000000D0D0D0D0D0D0D0D0D0D0D0D0D0D0D0D0D0D2D29101010101010101010101010101010101010211D303000000E0E0E0E0E0E0E0E0E0E0E0E0E0E0E0E0E0E2D29111111111111111111111111111111111111211D303000000F0F0F0F0F0F0F0F0F0F0F0F0F0F0F0F0F0F2D29121212121212121212121212121212121212211D303000001010101010101010101010101010101010102D29131313131313131313131313131313131313211D303000001212121212121212121212121212121212122D29151515151515151515151515151515151515211D303000001010101010101010101010101010101010102D29151515151515151515151515151515151515211D303000001313131313131313131313131313131313132D29030303030303030303030303030303030303211D303000002E2E2E2E2E2E2E2E2E2E2E2E2E2E2E2E2E2E2D29222222222222222222222222222222222222211D303000002525252525252525252425242524252425242D291C1C1C1C1C1C1C1C1C1C1C1C1C1C1C1C1C1C211D30300000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30300000FFFFFFFFFFFFFFFFFFFFFFFFFFFFFFFFFFFFFFFFFFFFFFFFFFFFFFFFFFFFFFFFFFFFFFFFFFFFFFFF30300000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30300100FFFFFFFFFFFFFFFFFFFFFFFFFFFFFFFFFFFFFFFFFFFFFFFFFFFFFFFFFFFFFFFFFFFFFFFFFFFFFFFF30300100FFFFFFFFFFFFFFFFFFFFFFFFFFFFFFFFFFFFFFFFFFFFFFFFFFFFFFFFFFFFFFFFFFFFFFFFFFFFFFFF30300100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30300000FFFFFFFFFFFFFFFFFFFFFFFFFFFFFFFFFFFFFFFFFFFFFFFFFFFFFFFFFFFFFFFFFFFFFFFFFFFFFFFF30300100FFFFFFFFFFFFFFFFFFFFFFFFFFFFFFFFFFFFFFFFFFFFFFFFFFFFFFFFFFFFFFFFFFFFFFFFFFFFFFFF30300100FFFFFFFFFFFFFFFFFFFFFFFFFFFFFFFFFFFFFFFFFFFFFFFFFFFFFFFFFFFFFFFFFFFFFFFFFFFFFFFF30300100FFFFFFFFFFFFFFFFFFFFFFFFFFFFFFFFFFFFFFFFFFFFFFFFFFFFFFFFFFFFFFFFFFFFFFFFFFFFFFFF30300000FFFFFFFFFFFFFFFFFFFFFFFFFFFFFFFFFFFFFFFFFFFFFFFFFFFFFFFFFFFFFFFFFFFFFFFFFFFFFFFF30300000FFFFFFFFFFFFFFFFFFFFFFFFFFFFFFFFFFFFFFFFFFFFFFFFFFFFFFFFFFFFFFFFFFFFFFFFFFFFFFFF30300101FFFFFFFFFFFFFFFFFFFFFFFFFFFFFFFFFFFFFFFFFFFFFFFFFFFFFFFFFFFFFFFFFFFFFFFFFFFFFFFF30300100FFFFFFFFFFFFFFFFFFFFFFFFFFFFFFFFFFFFFFFFFFFFFFFFFFFFFFFFFFFFFFFFFFFFFFFFFFFFFFFF30300100FFFFFFFFFFFFFFFFFFFFFFFFFFFFFFFFFFFFFFFFFFFFFFFFFFFFFFFFFFFFFFFFFFFFFFFFFFFFFFFF30300100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30300100FFFFFFFFFFFFFFFFFFFFFFFFFFFFFFFFFFFFFFFFFFFFFFFFFFFFFFFFFFFFFFFFFFFFFFFFFFFFFFFF30300100FFFFFFFFFFFFFFFFFFFFFFFFFFFFFFFFFFFFFFFFFFFFFFFFFFFFFFFFFFFFFFFFFFFFFFFFFFFFFFFF30300100FFFFFFFFFFFFFFFFFFFFFFFFFFFFFFFFFFFFFFFFFFFFFFFFFFFFFFFFFFFFFFFFFFFFFFFFFFFFFFFF30300100FFFFFFFFFFFFFFFFFFFFFFFFFFFFFFFFFFFFFFFFFFFFFFFFFFFFFFFFFFFFFFFFFFFFFFFFFFFFFFFF30300100FFFFFFFFFFFFFFFFFFFFFFFFFFFFFFFFFFFFFFFFFFFFFFFFFFFFFFFFFFFFFFFFFFFFFFFFFFFFFFFF30300000FFFFFFFFFFFFFFFFFFFFFFFFFFFFFFFFFFFFFFFFFFFFFFFFFFFFFFFFFFFFFFFFFFFFFFFFFFFFFFFF30300100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30300100FFFFFFFFFFFFFFFFFFFFFFFFFFFFFFFFFFFFFFFFFFFFFFFFFFFFFFFFFFFFFFFFFFFFFFFFFFFFFFFF30300000FFFFFFFFFFFFFFFFFFFFFFFFFFFFFFFFFFFFFFFFFFFFFFFFFFFFFFFFFFFFFFFFFFFFFFFFFFFFFFFF30300000FFFFFFFFFFFFFFFFFFFFFFFFFFFFFFFFFFFFFFFFFFFFFFFFFFFFFFFFFFFFFFFFFFFFFFFFFFFFFFFF30300101FFFFFFFFFFFFFFFFFFFFFFFFFFFFFFFFFFFFFFFFFFFFFFFFFFFFFFFFFFFFFFFFFFFFFFFFFFFFFFFF30300100FFFFFFFFFFFFFFFFFFFFFFFFFFFFFFFFFFFFFFFFFFFFFFFFFFFFFFFFFFFFFFFFFFFFFFFFFFFFFFFF30300101FFFFFFFFFFFFFFFFFFFFFFFFFFFFFFFFFFFFFFFFFFFFFFFFFFFFFFFFFFFFFFFFFFFFFFFFFFFFFFFF30300101FFFFFFFFFFFFFFFFFFFFFFFFFFFFFFFFFFFFFFFFFFFFFFFFFFFFFFFFFFFFFFFFFFFFFFFFFFFFFFFF30300000FFFFFFFFFFFFFFFFFFFFFFFFFFFFFFFFFFFFFFFFFFFFFFFFFFFFFFFFFFFFFFFFFFFFFFFFFFFFFFFF30300000FFFFFFFFFFFFFFFFFFFFFFFFFFFFFFFFFFFFFFFFFFFFFFFFFFFFFFFFFFFFFFFFFFFFFFFFFFFFFFFF30300100FFFFFFFFFFFFFFFFFFFFFFFFFFFFFFFFFFFFFFFFFFFFFFFFFFFFFFFFFFFFFFFFFFFFFFFFFFFFFFFF30300101FFFFFFFFFFFFFFFFFFFFFFFFFFFFFFFFFFFFFFFFFFFFFFFFFFFFFFFFFFFFFFFFFFFFFFFFFFFFFFFF30300101FFFFFFFFFFFFFFFFFFFFFFFFFFFFFFFFFFFFFFFFFFFFFFFFFFFFFFFFFFFFFFFFFFFFFFFFFFFFFFFF30300000FFFFFFFFFFFFFFFFFFFFFFFFFFFFFFFFFFFFFFFFFFFFFFFFFFFFFFFFFFFFFFFFFFFFFFFFFFFFFFFF30300100FFFFFFFFFFFFFFFFFFFFFFFFFFFFFFFFFFFFFFFFFFFFFFFFFFFFFFFFFFFFFFFFFFFFFFFFFFFFFFFF30300100FFFFFFFFFFFFFFFFFFFFFFFFFFFFFFFFFFFFFFFFFFFFFFFFFFFFFFFFFFFFFFFFFFFFFFFFFFFFFFFF3030</v>
      </c>
      <c r="S4" s="3"/>
      <c r="T4" s="3"/>
      <c r="U4" s="3"/>
      <c r="V4" s="3"/>
      <c r="W4" s="3"/>
      <c r="X4" s="3"/>
      <c r="Y4" s="3"/>
      <c r="Z4" s="3"/>
      <c r="AA4" s="3"/>
      <c r="AB4" s="4"/>
      <c r="AE4" s="5" t="s">
        <v>2</v>
      </c>
      <c r="AF4" s="4"/>
      <c r="AG4" s="2" t="str">
        <f>IFERROR(__xludf.DUMMYFUNCTION("JOIN("""", TOROW(MAP({D40:AU129}, LAMBDA(cell, IF(ISBLANK(cell), DEC2HEX(255, 2), DEC2HEX(cell, 2)) ))))"),"01000000000000000000000000000800000B11002A2605000101181708000A0C040C0A0D030E14191E1D303001010101010101010101010101010801010B11012A2606010101181608010A0C040C0A0D030E14191E1D303001000202020202020202020202020802020B11022B2705000101181708000A0C040C0A0D030E141"&amp;"91F1D303001010303030303030303030303030803030B11032B2706010101181608010A0C040C0A0D030E14191F1D3030000004040404040404FF040404040804040B11042B2705000101041709000B0C040C0A0D030E14191F1D3030000005050505050505FF050505050805050B11052C2805000101041709040B0C040C0A"&amp;"0D030E1419201D303001010606060606060606060606060806060B11062C2805000101051709000A0C040C0A0D030E1419201D303001010707070707070707070707070707070B11072C2805070101071708010A0C000C0A0D030E1419201D3030010108080808080808FF080808080808080B11082C2805000101081708000"&amp;"A0C040C0A0D030E1419201D3030000009090909090909FF090909090909090B11092D2905030101031709000B0C040C0B0D030E1419211D303001000A0A0A0A0A0A0A0A0A0A0A0A0A0A0A0B110A2D2905180101001708000A0C040C0A0D030E1419211D303000000C0C0C0C0C0C0C0C0C0C0C0C0C0C0C0C0C0C2D290F0F0F0F"&amp;"0F0F0F0F0F0F0F0F0F0F0F0F0F0F211D303000000D0D0D0D0D0D0D0D0D0D0D0D0D0D0D0D0D0D2D29101010101010101010101010101010101010211D303000000E0E0E0E0E0E0E0E0E0E0E0E0E0E0E0E0E0E2D29111111111111111111111111111111111111211D303000000F0F0F0F0F0F0F0F0F0F0F0F0F0F0F0F0F0F2D2"&amp;"9121212121212121212121212121212121212211D303000001010101010101010101010101010101010102D29131313131313131313131313131313131313211D303000001212121212121212121212121212121212122D29151515151515151515151515151515151515211D30300000101010101010101010101010101010"&amp;"1010102D29151515151515151515151515151515151515211D303000001313131313131313131313131313131313132D29030303030303030303030303030303030303211D303000002E2E2E2E2E2E2E2E2E2E2E2E2E2E2E2E2E2E2D29222222222222222222222222222222222222211D30300000252525252525252525242"&amp;"5242524252425242D291C1C1C1C1C1C1C1C1C1C1C1C1C1C1C1C1C1C211D30300000FFFFFFFFFFFFFFFFFFFFFFFFFFFFFFFFFFFFFFFFFFFFFFFFFFFFFFFFFFFFFFFFFFFFFFFFFFFFFFFF30300101FFFFFFFFFFFFFFFFFFFFFFFFFFFFFFFFFFFFFFFFFFFFFFFFFFFFFFFFFFFFFFFFFFFFFFFFFFFFFFFF30300101FFFFFFFFFFFF"&amp;"FFFFFFFFFFFFFFFFFFFFFFFFFFFFFFFFFFFFFFFFFFFFFFFFFFFFFFFFFFFFFFFFFFFF30300101FFFFFFFFFFFFFFFFFFFFFFFFFFFFFFFFFFFFFFFFFFFFFFFFFFFFFFFFFFFFFFFFFFFFFFFFFFFFFFFF30300101FFFFFFFFFFFFFFFFFFFFFFFFFFFFFFFFFFFFFFFFFFFFFFFFFFFFFFFFFFFFFFFFFFFFFFFFFFFFFFFF30300101FFF"&amp;"FFFFFFFFFFFFFFFFFFFFFFFFFFFFFFFFFFFFFFFFFFFFFFFFFFFFFFFFFFFFFFFFFFFFFFFFFFFFF30300000FFFFFFFFFFFFFFFFFFFFFFFFFFFFFFFFFFFFFFFFFFFFFFFFFFFFFFFFFFFFFFFFFFFFFFFFFFFFFFFF30300000FFFFFFFFFFFFFFFFFFFFFFFFFFFFFFFFFFFFFFFFFFFFFFFFFFFFFFFFFFFFFFFFFFFFFFFFFFFFFFFF30"&amp;"300101FFFFFFFFFFFFFFFFFFFFFFFFFFFFFFFFFFFFFFFFFFFFFFFFFFFFFFFFFFFFFFFFFFFFFFFFFFFFFFFF30300101FFFFFFFFFFFFFFFFFFFFFFFFFFFFFFFFFFFFFFFFFFFFFFFFFFFFFFFFFFFFFFFFFFFFFFFFFFFFFFFF30300101FFFFFFFFFFFFFFFFFFFFFFFFFFFFFFFFFFFFFFFFFFFFFFFFFFFFFFFFFFFFFFFFFFFFFFFFF"&amp;"FFFFFFF30300101FFFFFFFFFFFFFFFFFFFFFFFFFFFFFFFFFFFFFFFFFFFFFFFFFFFFFFFFFFFFFFFFFFFFFFFFFFFFFFFF30300101FFFFFFFFFFFFFFFFFFFFFFFFFFFFFFFFFFFFFFFFFFFFFFFFFFFFFFFFFFFFFFFFFFFFFFFFFFFFFFFF30300101FFFFFFFFFFFFFFFFFFFFFFFFFFFFFFFFFFFFFFFFFFFFFFFFFFFFFFFFFFFFFFFF"&amp;"FFFFFFFFFFFFFFFF30300100FFFFFFFFFFFFFFFFFFFFFFFFFFFFFFFFFFFFFFFFFFFFFFFFFFFFFFFFFFFFFFFFFFFFFFFFFFFFFFFF30300100FFFFFFFFFFFFFFFFFFFFFFFFFFFFFFFFFFFFFFFFFFFFFFFFFFFFFFFFFFFFFFFFFFFFFFFFFFFFFFFF30300100FFFFFFFFFFFFFFFFFFFFFFFFFFFFFFFFFFFFFFFFFFFFFFFFFFFFFFF"&amp;"FFFFFFFFFFFFFFFFFFFFFFFFF30300101FFFFFFFFFFFFFFFFFFFFFFFFFFFFFFFFFFFFFFFFFFFFFFFFFFFFFFFFFFFFFFFFFFFFFFFFFFFFFFFF30300101FFFFFFFFFFFFFFFFFFFFFFFFFFFFFFFFFFFFFFFFFFFFFFFFFFFFFFFFFFFFFFFFFFFFFFFFFFFFFFFF30300101FFFFFFFFFFFFFFFFFFFFFFFFFFFFFFFFFFFFFFFFFFFFFF"&amp;"FFFFFFFFFFFFFFFFFFFFFFFFFFFFFFFFFF30300000FFFFFFFFFFFFFFFFFFFFFFFFFFFFFFFFFFFFFFFFFFFFFFFFFFFFFFFFFFFFFFFFFFFFFFFFFFFFFFFF30300100FFFFFFFFFFFFFFFFFFFFFFFFFFFFFFFFFFFFFFFFFFFFFFFFFFFFFFFFFFFFFFFFFFFFFFFFFFFFFFFF30300100FFFFFFFFFFFFFFFFFFFFFFFFFFFFFFFFFFFFF"&amp;"FFFFFFFFFFFFFFFFFFFFFFFFFFFFFFFFFFFFFFFFFFF30300100FFFFFFFFFFFFFFFFFFFFFFFFFFFFFFFFFFFFFFFFFFFFFFFFFFFFFFFFFFFFFFFFFFFFFFFFFFFFFFFF30300000FFFFFFFFFFFFFFFFFFFFFFFFFFFFFFFFFFFFFFFFFFFFFFFFFFFFFFFFFFFFFFFFFFFFFFFFFFFFFFFF30300000FFFFFFFFFFFFFFFFFFFFFFFFFFFF"&amp;"FFFFFFFFFFFFFFFFFFFFFFFFFFFFFFFFFFFFFFFFFFFFFFFFFFFF30300101FFFFFFFFFFFFFFFFFFFFFFFFFFFFFFFFFFFFFFFFFFFFFFFFFFFFFFFFFFFFFFFFFFFFFFFFFFFFFFFF30300100FFFFFFFFFFFFFFFFFFFFFFFFFFFFFFFFFFFFFFFFFFFFFFFFFFFFFFFFFFFFFFFFFFFFFFFFFFFFFFFF30300100FFFFFFFFFFFFFFFFFFF"&amp;"FFFFFFFFFFFFFFFFFFFFFFFFFFFFFFFFFFFFFFFFFFFFFFFFFFFFFFFFFFFFF30300100FFFFFFFFFFFFFFFFFFFFFFFFFFFFFFFFFFFFFFFFFFFFFFFFFFFFFFFFFFFFFFFFFFFFFFFFFFFFFFFF30300101FFFFFFFFFFFFFFFFFFFFFFFFFFFFFFFFFFFFFFFFFFFFFFFFFFFFFFFFFFFFFFFFFFFFFFFFFFFFFFFF30300101FFFFFFFFFF"&amp;"FFFFFFFFFFFFFFFFFFFFFFFFFFFFFFFFFFFFFFFFFFFFFFFFFFFFFFFFFFFFFFFFFFFFFF30300101FFFFFFFFFFFFFFFFFFFFFFFFFFFFFFFFFFFFFFFFFFFFFFFFFFFFFFFFFFFFFFFFFFFFFFFFFFFFFFFF30300101FFFFFFFFFFFFFFFFFFFFFFFFFFFFFFFFFFFFFFFFFFFFFFFFFFFFFFFFFFFFFFFFFFFFFFFFFFFFFFFF30300100F"&amp;"FFFFFFFFFFFFFFFFFFFFFFFFFFFFFFFFFFFFFFFFFFFFFFFFFFFFFFFFFFFFFFFFFFFFFFFFFFFFFFF30300100FFFFFFFFFFFFFFFFFFFFFFFFFFFFFFFFFFFFFFFFFFFFFFFFFFFFFFFFFFFFFFFFFFFFFFFFFFFFFFFF30300100FFFFFFFFFFFFFFFFFFFFFFFFFFFFFFFFFFFFFFFFFFFFFFFFFFFFFFFFFFFFFFFFFFFFFFFFFFFFFFFF"&amp;"30300100FFFFFFFFFFFFFFFFFFFFFFFFFFFFFFFFFFFFFFFFFFFFFFFFFFFFFFFFFFFFFFFFFFFFFFFFFFFFFFFF30300100FFFFFFFFFFFFFFFFFFFFFFFFFFFFFFFFFFFFFFFFFFFFFFFFFFFFFFFFFFFFFFFFFFFFFFFFFFFFFFFF30300000FFFFFFFFFFFFFFFFFFFFFFFFFFFFFFFFFFFFFFFFFFFFFFFFFFFFFFFFFFFFFFFFFFFFFFF"&amp;"FFFFFFFFF30300100FFFFFFFFFFFFFFFFFFFFFFFFFFFFFFFFFFFFFFFFFFFFFFFFFFFFFFFFFFFFFFFFFFFFFFFFFFFFFFFF30300101FFFFFFFFFFFFFFFFFFFFFFFFFFFFFFFFFFFFFFFFFFFFFFFFFFFFFFFFFFFFFFFFFFFFFFFFFFFFFFFF30300101FFFFFFFFFFFFFFFFFFFFFFFFFFFFFFFFFFFFFFFFFFFFFFFFFFFFFFFFFFFFFF"&amp;"FFFFFFFFFFFFFFFFFF30300101FFFFFFFFFFFFFFFFFFFFFFFFFFFFFFFFFFFFFFFFFFFFFFFFFFFFFFFFFFFFFFFFFFFFFFFFFFFFFFFF30300101FFFFFFFFFFFFFFFFFFFFFFFFFFFFFFFFFFFFFFFFFFFFFFFFFFFFFFFFFFFFFFFFFFFFFFFFFFFFFFFF30300101FFFFFFFFFFFFFFFFFFFFFFFFFFFFFFFFFFFFFFFFFFFFFFFFFFFFF"&amp;"FFFFFFFFFFFFFFFFFFFFFFFFFFF30300101FFFFFFFFFFFFFFFFFFFFFFFFFFFFFFFFFFFFFFFFFFFFFFFFFFFFFFFFFFFFFFFFFFFFFFFFFFFFFFFF30300100FFFFFFFFFFFFFFFFFFFFFFFFFFFFFFFFFFFFFFFFFFFFFFFFFFFFFFFFFFFFFFFFFFFFFFFFFFFFFFFF30300000FFFFFFFFFFFFFFFFFFFFFFFFFFFFFFFFFFFFFFFFFFFF"&amp;"FFFFFFFFFFFFFFFFFFFFFFFFFFFFFFFFFFFF30300000FFFFFFFFFFFFFFFFFFFFFFFFFFFFFFFFFFFFFFFFFFFFFFFFFFFFFFFFFFFFFFFFFFFFFFFFFFFFFFFF30300101FFFFFFFFFFFFFFFFFFFFFFFFFFFFFFFFFFFFFFFFFFFFFFFFFFFFFFFFFFFFFFFFFFFFFFFFFFFFFFFF30300100FFFFFFFFFFFFFFFFFFFFFFFFFFFFFFFFFFF"&amp;"FFFFFFFFFFFFFFFFFFFFFFFFFFFFFFFFFFFFFFFFFFFFF30300101FFFFFFFFFFFFFFFFFFFFFFFFFFFFFFFFFFFFFFFFFFFFFFFFFFFFFFFFFFFFFFFFFFFFFFFFFFFFFFFF30300101FFFFFFFFFFFFFFFFFFFFFFFFFFFFFFFFFFFFFFFFFFFFFFFFFFFFFFFFFFFFFFFFFFFFFFFFFFFFFFFF30300000FFFFFFFFFFFFFFFFFFFFFFFFFF"&amp;"FFFFFFFFFFFFFFFFFFFFFFFFFFFFFFFFFFFFFFFFFFFFFFFFFFFFFF30300000FFFFFFFFFFFFFFFFFFFFFFFFFFFFFFFFFFFFFFFFFFFFFFFFFFFFFFFFFFFFFFFFFFFFFFFFFFFFFFFF30300100FFFFFFFFFFFFFFFFFFFFFFFFFFFFFFFFFFFFFFFFFFFFFFFFFFFFFFFFFFFFFFFFFFFFFFFFFFFFFFFF30300101FFFFFFFFFFFFFFFFF"&amp;"FFFFFFFFFFFFFFFFFFFFFFFFFFFFFFFFFFFFFFFFFFFFFFFFFFFFFFFFFFFFFFF30300101FFFFFFFFFFFFFFFFFFFFFFFFFFFFFFFFFFFFFFFFFFFFFFFFFFFFFFFFFFFFFFFFFFFFFFFFFFFFFFFF30300000FFFFFFFFFFFFFFFFFFFFFFFFFFFFFFFFFFFFFFFFFFFFFFFFFFFFFFFFFFFFFFFFFFFFFFFFFFFFFFFF30300100FFFFFFFF"&amp;"FFFFFFFFFFFFFFFFFFFFFFFFFFFFFFFFFFFFFFFFFFFFFFFFFFFFFFFFFFFFFFFFFFFFFFFF30300100FFFFFFFFFFFFFFFFFFFFFFFFFFFFFFFFFFFFFFFFFFFFFFFFFFFFFFFFFFFFFFFFFFFFFFFFFFFFFFFF30300000FFFFFFFFFFFFFFFFFFFFFFFFFFFFFFFFFFFFFFFFFFFFFFFFFFFFFFFFFFFFFFFFFFFFFFFFFFFFFFFF3030010"&amp;"0FFFFFFFFFFFFFFFFFFFFFFFFFFFFFFFFFFFFFFFFFFFFFFFFFFFFFFFFFFFFFFFFFFFFFFFFFFFFFFFF30300000FFFFFFFFFFFFFFFFFFFFFFFFFFFFFFFFFFFFFFFFFFFFFFFFFFFFFFFFFFFFFFFFFFFFFFFFFFFFFFFF30300000FFFFFFFFFFFFFFFFFFFFFFFFFFFFFFFFFFFFFFFFFFFFFFFFFFFFFFFFFFFFFFFFFFFFFFFFFFFFFF"&amp;"FF30300000FFFFFFFFFFFFFFFFFFFFFFFFFFFFFFFFFFFFFFFFFFFFFFFFFFFFFFFFFFFFFFFFFFFFFFFFFFFFFFFF30300100FFFFFFFFFFFFFFFFFFFFFFFFFFFFFFFFFFFFFFFFFFFFFFFFFFFFFFFFFFFFFFFFFFFFFFFFFFFFFFFF30300000FFFFFFFFFFFFFFFFFFFFFFFFFFFFFFFFFFFFFFFFFFFFFFFFFFFFFFFFFFFFFFFFFFFFF"&amp;"FFFFFFFFFFF3030")</f>
        <v>01000000000000000000000000000800000B11002A2605000101181708000A0C040C0A0D030E14191E1D303001010101010101010101010101010801010B11012A2606010101181608010A0C040C0A0D030E14191E1D303001000202020202020202020202020802020B11022B2705000101181708000A0C040C0A0D030E14191F1D303001010303030303030303030303030803030B11032B2706010101181608010A0C040C0A0D030E14191F1D3030000004040404040404FF040404040804040B11042B2705000101041709000B0C040C0A0D030E14191F1D3030000005050505050505FF050505050805050B11052C2805000101041709040B0C040C0A0D030E1419201D303001010606060606060606060606060806060B11062C2805000101051709000A0C040C0A0D030E1419201D303001010707070707070707070707070707070B11072C2805070101071708010A0C000C0A0D030E1419201D3030010108080808080808FF080808080808080B11082C2805000101081708000A0C040C0A0D030E1419201D3030000009090909090909FF090909090909090B11092D2905030101031709000B0C040C0B0D030E1419211D303001000A0A0A0A0A0A0A0A0A0A0A0A0A0A0A0B110A2D2905180101001708000A0C040C0A0D030E1419211D303000000C0C0C0C0C0C0C0C0C0C0C0C0C0C0C0C0C0C2D290F0F0F0F0F0F0F0F0F0F0F0F0F0F0F0F0F0F211D303000000D0D0D0D0D0D0D0D0D0D0D0D0D0D0D0D0D0D2D29101010101010101010101010101010101010211D303000000E0E0E0E0E0E0E0E0E0E0E0E0E0E0E0E0E0E2D29111111111111111111111111111111111111211D303000000F0F0F0F0F0F0F0F0F0F0F0F0F0F0F0F0F0F2D29121212121212121212121212121212121212211D303000001010101010101010101010101010101010102D29131313131313131313131313131313131313211D303000001212121212121212121212121212121212122D29151515151515151515151515151515151515211D303000001010101010101010101010101010101010102D29151515151515151515151515151515151515211D303000001313131313131313131313131313131313132D29030303030303030303030303030303030303211D303000002E2E2E2E2E2E2E2E2E2E2E2E2E2E2E2E2E2E2D29222222222222222222222222222222222222211D303000002525252525252525252425242524252425242D291C1C1C1C1C1C1C1C1C1C1C1C1C1C1C1C1C1C211D30300000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30300000FFFFFFFFFFFFFFFFFFFFFFFFFFFFFFFFFFFFFFFFFFFFFFFFFFFFFFFFFFFFFFFFFFFFFFFFFFFFFFFF30300000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30300100FFFFFFFFFFFFFFFFFFFFFFFFFFFFFFFFFFFFFFFFFFFFFFFFFFFFFFFFFFFFFFFFFFFFFFFFFFFFFFFF30300100FFFFFFFFFFFFFFFFFFFFFFFFFFFFFFFFFFFFFFFFFFFFFFFFFFFFFFFFFFFFFFFFFFFFFFFFFFFFFFFF30300100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30300000FFFFFFFFFFFFFFFFFFFFFFFFFFFFFFFFFFFFFFFFFFFFFFFFFFFFFFFFFFFFFFFFFFFFFFFFFFFFFFFF30300100FFFFFFFFFFFFFFFFFFFFFFFFFFFFFFFFFFFFFFFFFFFFFFFFFFFFFFFFFFFFFFFFFFFFFFFFFFFFFFFF30300100FFFFFFFFFFFFFFFFFFFFFFFFFFFFFFFFFFFFFFFFFFFFFFFFFFFFFFFFFFFFFFFFFFFFFFFFFFFFFFFF30300100FFFFFFFFFFFFFFFFFFFFFFFFFFFFFFFFFFFFFFFFFFFFFFFFFFFFFFFFFFFFFFFFFFFFFFFFFFFFFFFF30300000FFFFFFFFFFFFFFFFFFFFFFFFFFFFFFFFFFFFFFFFFFFFFFFFFFFFFFFFFFFFFFFFFFFFFFFFFFFFFFFF30300000FFFFFFFFFFFFFFFFFFFFFFFFFFFFFFFFFFFFFFFFFFFFFFFFFFFFFFFFFFFFFFFFFFFFFFFFFFFFFFFF30300101FFFFFFFFFFFFFFFFFFFFFFFFFFFFFFFFFFFFFFFFFFFFFFFFFFFFFFFFFFFFFFFFFFFFFFFFFFFFFFFF30300100FFFFFFFFFFFFFFFFFFFFFFFFFFFFFFFFFFFFFFFFFFFFFFFFFFFFFFFFFFFFFFFFFFFFFFFFFFFFFFFF30300100FFFFFFFFFFFFFFFFFFFFFFFFFFFFFFFFFFFFFFFFFFFFFFFFFFFFFFFFFFFFFFFFFFFFFFFFFFFFFFFF30300100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30300100FFFFFFFFFFFFFFFFFFFFFFFFFFFFFFFFFFFFFFFFFFFFFFFFFFFFFFFFFFFFFFFFFFFFFFFFFFFFFFFF30300100FFFFFFFFFFFFFFFFFFFFFFFFFFFFFFFFFFFFFFFFFFFFFFFFFFFFFFFFFFFFFFFFFFFFFFFFFFFFFFFF30300100FFFFFFFFFFFFFFFFFFFFFFFFFFFFFFFFFFFFFFFFFFFFFFFFFFFFFFFFFFFFFFFFFFFFFFFFFFFFFFFF30300100FFFFFFFFFFFFFFFFFFFFFFFFFFFFFFFFFFFFFFFFFFFFFFFFFFFFFFFFFFFFFFFFFFFFFFFFFFFFFFFF30300100FFFFFFFFFFFFFFFFFFFFFFFFFFFFFFFFFFFFFFFFFFFFFFFFFFFFFFFFFFFFFFFFFFFFFFFFFFFFFFFF30300000FFFFFFFFFFFFFFFFFFFFFFFFFFFFFFFFFFFFFFFFFFFFFFFFFFFFFFFFFFFFFFFFFFFFFFFFFFFFFFFF30300100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30300101FFFFFFFFFFFFFFFFFFFFFFFFFFFFFFFFFFFFFFFFFFFFFFFFFFFFFFFFFFFFFFFFFFFFFFFFFFFFFFFF30300100FFFFFFFFFFFFFFFFFFFFFFFFFFFFFFFFFFFFFFFFFFFFFFFFFFFFFFFFFFFFFFFFFFFFFFFFFFFFFFFF30300000FFFFFFFFFFFFFFFFFFFFFFFFFFFFFFFFFFFFFFFFFFFFFFFFFFFFFFFFFFFFFFFFFFFFFFFFFFFFFFFF30300000FFFFFFFFFFFFFFFFFFFFFFFFFFFFFFFFFFFFFFFFFFFFFFFFFFFFFFFFFFFFFFFFFFFFFFFFFFFFFFFF30300101FFFFFFFFFFFFFFFFFFFFFFFFFFFFFFFFFFFFFFFFFFFFFFFFFFFFFFFFFFFFFFFFFFFFFFFFFFFFFFFF30300100FFFFFFFFFFFFFFFFFFFFFFFFFFFFFFFFFFFFFFFFFFFFFFFFFFFFFFFFFFFFFFFFFFFFFFFFFFFFFFFF30300101FFFFFFFFFFFFFFFFFFFFFFFFFFFFFFFFFFFFFFFFFFFFFFFFFFFFFFFFFFFFFFFFFFFFFFFFFFFFFFFF30300101FFFFFFFFFFFFFFFFFFFFFFFFFFFFFFFFFFFFFFFFFFFFFFFFFFFFFFFFFFFFFFFFFFFFFFFFFFFFFFFF30300000FFFFFFFFFFFFFFFFFFFFFFFFFFFFFFFFFFFFFFFFFFFFFFFFFFFFFFFFFFFFFFFFFFFFFFFFFFFFFFFF30300000FFFFFFFFFFFFFFFFFFFFFFFFFFFFFFFFFFFFFFFFFFFFFFFFFFFFFFFFFFFFFFFFFFFFFFFFFFFFFFFF30300100FFFFFFFFFFFFFFFFFFFFFFFFFFFFFFFFFFFFFFFFFFFFFFFFFFFFFFFFFFFFFFFFFFFFFFFFFFFFFFFF30300101FFFFFFFFFFFFFFFFFFFFFFFFFFFFFFFFFFFFFFFFFFFFFFFFFFFFFFFFFFFFFFFFFFFFFFFFFFFFFFFF30300101FFFFFFFFFFFFFFFFFFFFFFFFFFFFFFFFFFFFFFFFFFFFFFFFFFFFFFFFFFFFFFFFFFFFFFFFFFFFFFFF30300000FFFFFFFFFFFFFFFFFFFFFFFFFFFFFFFFFFFFFFFFFFFFFFFFFFFFFFFFFFFFFFFFFFFFFFFFFFFFFFFF30300100FFFFFFFFFFFFFFFFFFFFFFFFFFFFFFFFFFFFFFFFFFFFFFFFFFFFFFFFFFFFFFFFFFFFFFFFFFFFFFFF30300100FFFFFFFFFFFFFFFFFFFFFFFFFFFFFFFFFFFFFFFFFFFFFFFFFFFFFFFFFFFFFFFFFFFFFFFFFFFFFFFF30300000FFFFFFFFFFFFFFFFFFFFFFFFFFFFFFFFFFFFFFFFFFFFFFFFFFFFFFFFFFFFFFFFFFFFFFFFFFFFFFFF30300100FFFFFFFFFFFFFFFFFFFFFFFFFFFFFFFFFFFFFFFFFFFFFFFFFFFFFFFFFFFFFFFFFFFFFFFFFFFFFFFF30300000FFFFFFFFFFFFFFFFFFFFFFFFFFFFFFFFFFFFFFFFFFFFFFFFFFFFFFFFFFFFFFFFFFFFFFFFFFFFFFFF30300000FFFFFFFFFFFFFFFFFFFFFFFFFFFFFFFFFFFFFFFFFFFFFFFFFFFFFFFFFFFFFFFFFFFFFFFFFFFFFFFF30300000FFFFFFFFFFFFFFFFFFFFFFFFFFFFFFFFFFFFFFFFFFFFFFFFFFFFFFFFFFFFFFFFFFFFFFFFFFFFFFFF30300100FFFFFFFFFFFFFFFFFFFFFFFFFFFFFFFFFFFFFFFFFFFFFFFFFFFFFFFFFFFFFFFFFFFFFFFFFFFFFFFF30300000FFFFFFFFFFFFFFFFFFFFFFFFFFFFFFFFFFFFFFFFFFFFFFFFFFFFFFFFFFFFFFFFFFFFFFFFFFFFFFFF3030</v>
      </c>
      <c r="AH4" s="3"/>
      <c r="AI4" s="3"/>
      <c r="AJ4" s="3"/>
      <c r="AK4" s="3"/>
      <c r="AL4" s="3"/>
      <c r="AM4" s="3"/>
      <c r="AN4" s="3"/>
      <c r="AO4" s="3"/>
      <c r="AP4" s="3"/>
      <c r="AQ4" s="4"/>
    </row>
    <row r="5">
      <c r="B5" s="6"/>
      <c r="C5" s="7"/>
      <c r="M5" s="8"/>
      <c r="P5" s="7"/>
      <c r="Q5" s="8"/>
      <c r="R5" s="7"/>
      <c r="AB5" s="8"/>
      <c r="AE5" s="7"/>
      <c r="AF5" s="8"/>
      <c r="AG5" s="7"/>
      <c r="AQ5" s="8"/>
    </row>
    <row r="6">
      <c r="B6" s="9"/>
      <c r="C6" s="7"/>
      <c r="M6" s="8"/>
      <c r="P6" s="10"/>
      <c r="Q6" s="11"/>
      <c r="R6" s="7"/>
      <c r="AB6" s="8"/>
      <c r="AE6" s="10"/>
      <c r="AF6" s="11"/>
      <c r="AG6" s="7"/>
      <c r="AQ6" s="8"/>
    </row>
    <row r="7">
      <c r="C7" s="7"/>
      <c r="M7" s="8"/>
      <c r="R7" s="7"/>
      <c r="AB7" s="8"/>
      <c r="AG7" s="7"/>
      <c r="AQ7" s="8"/>
    </row>
    <row r="8">
      <c r="C8" s="7"/>
      <c r="M8" s="8"/>
      <c r="R8" s="7"/>
      <c r="AB8" s="8"/>
      <c r="AG8" s="7"/>
      <c r="AQ8" s="8"/>
    </row>
    <row r="9">
      <c r="C9" s="7"/>
      <c r="M9" s="8"/>
      <c r="R9" s="7"/>
      <c r="AB9" s="8"/>
      <c r="AG9" s="7"/>
      <c r="AQ9" s="8"/>
    </row>
    <row r="10">
      <c r="C10" s="7"/>
      <c r="M10" s="8"/>
      <c r="R10" s="7"/>
      <c r="AB10" s="8"/>
      <c r="AG10" s="7"/>
      <c r="AQ10" s="8"/>
    </row>
    <row r="11">
      <c r="C11" s="7"/>
      <c r="M11" s="8"/>
      <c r="R11" s="7"/>
      <c r="AB11" s="8"/>
      <c r="AG11" s="7"/>
      <c r="AQ11" s="8"/>
    </row>
    <row r="12">
      <c r="C12" s="7"/>
      <c r="M12" s="8"/>
      <c r="R12" s="7"/>
      <c r="AB12" s="8"/>
      <c r="AG12" s="7"/>
      <c r="AQ12" s="8"/>
    </row>
    <row r="13">
      <c r="C13" s="7"/>
      <c r="M13" s="8"/>
      <c r="R13" s="7"/>
      <c r="AB13" s="8"/>
      <c r="AG13" s="7"/>
      <c r="AQ13" s="8"/>
    </row>
    <row r="14">
      <c r="C14" s="7"/>
      <c r="M14" s="8"/>
      <c r="R14" s="7"/>
      <c r="AB14" s="8"/>
      <c r="AG14" s="7"/>
      <c r="AQ14" s="8"/>
    </row>
    <row r="15">
      <c r="C15" s="7"/>
      <c r="M15" s="8"/>
      <c r="R15" s="7"/>
      <c r="AB15" s="8"/>
      <c r="AG15" s="7"/>
      <c r="AQ15" s="8"/>
    </row>
    <row r="16">
      <c r="C16" s="7"/>
      <c r="M16" s="8"/>
      <c r="R16" s="7"/>
      <c r="AB16" s="8"/>
      <c r="AG16" s="7"/>
      <c r="AQ16" s="8"/>
    </row>
    <row r="17">
      <c r="C17" s="7"/>
      <c r="M17" s="8"/>
      <c r="R17" s="7"/>
      <c r="AB17" s="8"/>
      <c r="AG17" s="7"/>
      <c r="AQ17" s="8"/>
    </row>
    <row r="18">
      <c r="C18" s="7"/>
      <c r="M18" s="8"/>
      <c r="R18" s="7"/>
      <c r="AB18" s="8"/>
      <c r="AG18" s="7"/>
      <c r="AQ18" s="8"/>
    </row>
    <row r="19">
      <c r="C19" s="7"/>
      <c r="M19" s="8"/>
      <c r="R19" s="7"/>
      <c r="AB19" s="8"/>
      <c r="AG19" s="7"/>
      <c r="AQ19" s="8"/>
    </row>
    <row r="20">
      <c r="C20" s="7"/>
      <c r="M20" s="8"/>
      <c r="R20" s="7"/>
      <c r="AB20" s="8"/>
      <c r="AG20" s="7"/>
      <c r="AQ20" s="8"/>
    </row>
    <row r="21">
      <c r="C21" s="7"/>
      <c r="M21" s="8"/>
      <c r="R21" s="7"/>
      <c r="AB21" s="8"/>
      <c r="AG21" s="7"/>
      <c r="AQ21" s="8"/>
    </row>
    <row r="22">
      <c r="C22" s="7"/>
      <c r="M22" s="8"/>
      <c r="R22" s="7"/>
      <c r="AB22" s="8"/>
      <c r="AG22" s="7"/>
      <c r="AQ22" s="8"/>
    </row>
    <row r="23">
      <c r="C23" s="7"/>
      <c r="M23" s="8"/>
      <c r="R23" s="7"/>
      <c r="AB23" s="8"/>
      <c r="AG23" s="7"/>
      <c r="AQ23" s="8"/>
    </row>
    <row r="24">
      <c r="C24" s="7"/>
      <c r="M24" s="8"/>
      <c r="R24" s="7"/>
      <c r="AB24" s="8"/>
      <c r="AG24" s="7"/>
      <c r="AQ24" s="8"/>
    </row>
    <row r="25">
      <c r="C25" s="7"/>
      <c r="M25" s="8"/>
      <c r="R25" s="7"/>
      <c r="AB25" s="8"/>
      <c r="AG25" s="7"/>
      <c r="AQ25" s="8"/>
    </row>
    <row r="26">
      <c r="C26" s="7"/>
      <c r="M26" s="8"/>
      <c r="R26" s="7"/>
      <c r="AB26" s="8"/>
      <c r="AG26" s="7"/>
      <c r="AQ26" s="8"/>
    </row>
    <row r="27">
      <c r="C27" s="7"/>
      <c r="M27" s="8"/>
      <c r="R27" s="7"/>
      <c r="AB27" s="8"/>
      <c r="AG27" s="7"/>
      <c r="AQ27" s="8"/>
    </row>
    <row r="28">
      <c r="C28" s="7"/>
      <c r="M28" s="8"/>
      <c r="R28" s="7"/>
      <c r="AB28" s="8"/>
      <c r="AG28" s="7"/>
      <c r="AQ28" s="8"/>
    </row>
    <row r="29">
      <c r="C29" s="7"/>
      <c r="M29" s="8"/>
      <c r="R29" s="7"/>
      <c r="AB29" s="8"/>
      <c r="AG29" s="7"/>
      <c r="AQ29" s="8"/>
    </row>
    <row r="30">
      <c r="C30" s="7"/>
      <c r="M30" s="8"/>
      <c r="R30" s="7"/>
      <c r="AB30" s="8"/>
      <c r="AG30" s="7"/>
      <c r="AQ30" s="8"/>
    </row>
    <row r="31">
      <c r="C31" s="7"/>
      <c r="M31" s="8"/>
      <c r="R31" s="7"/>
      <c r="AB31" s="8"/>
      <c r="AG31" s="7"/>
      <c r="AQ31" s="8"/>
    </row>
    <row r="32">
      <c r="C32" s="7"/>
      <c r="M32" s="8"/>
      <c r="R32" s="7"/>
      <c r="AB32" s="8"/>
      <c r="AG32" s="7"/>
      <c r="AQ32" s="8"/>
    </row>
    <row r="33">
      <c r="C33" s="7"/>
      <c r="M33" s="8"/>
      <c r="R33" s="7"/>
      <c r="AB33" s="8"/>
      <c r="AG33" s="7"/>
      <c r="AQ33" s="8"/>
    </row>
    <row r="34">
      <c r="C34" s="10"/>
      <c r="D34" s="12"/>
      <c r="E34" s="12"/>
      <c r="F34" s="12"/>
      <c r="G34" s="12"/>
      <c r="H34" s="12"/>
      <c r="I34" s="12"/>
      <c r="J34" s="12"/>
      <c r="K34" s="12"/>
      <c r="L34" s="12"/>
      <c r="M34" s="11"/>
      <c r="R34" s="10"/>
      <c r="S34" s="12"/>
      <c r="T34" s="12"/>
      <c r="U34" s="12"/>
      <c r="V34" s="12"/>
      <c r="W34" s="12"/>
      <c r="X34" s="12"/>
      <c r="Y34" s="12"/>
      <c r="Z34" s="12"/>
      <c r="AA34" s="12"/>
      <c r="AB34" s="11"/>
      <c r="AG34" s="10"/>
      <c r="AH34" s="12"/>
      <c r="AI34" s="12"/>
      <c r="AJ34" s="12"/>
      <c r="AK34" s="12"/>
      <c r="AL34" s="12"/>
      <c r="AM34" s="12"/>
      <c r="AN34" s="12"/>
      <c r="AO34" s="12"/>
      <c r="AP34" s="12"/>
      <c r="AQ34" s="11"/>
    </row>
    <row r="38">
      <c r="B38" s="13" t="s">
        <v>3</v>
      </c>
      <c r="C38" s="14" t="s">
        <v>4</v>
      </c>
      <c r="D38" s="14" t="s">
        <v>5</v>
      </c>
      <c r="E38" s="15" t="s">
        <v>5</v>
      </c>
      <c r="F38" s="16" t="s">
        <v>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17"/>
      <c r="Z38" s="15" t="s">
        <v>7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17"/>
      <c r="AT38" s="15" t="s">
        <v>8</v>
      </c>
      <c r="AU38" s="4"/>
    </row>
    <row r="39">
      <c r="A39" s="18"/>
      <c r="B39" s="10"/>
      <c r="C39" s="19"/>
      <c r="D39" s="19" t="s">
        <v>9</v>
      </c>
      <c r="E39" s="20" t="s">
        <v>10</v>
      </c>
      <c r="F39" s="21" t="s">
        <v>11</v>
      </c>
      <c r="G39" s="20" t="s">
        <v>12</v>
      </c>
      <c r="H39" s="20" t="s">
        <v>13</v>
      </c>
      <c r="I39" s="20" t="s">
        <v>14</v>
      </c>
      <c r="J39" s="20" t="s">
        <v>15</v>
      </c>
      <c r="K39" s="20" t="s">
        <v>16</v>
      </c>
      <c r="L39" s="20" t="s">
        <v>17</v>
      </c>
      <c r="M39" s="20" t="s">
        <v>18</v>
      </c>
      <c r="N39" s="20" t="s">
        <v>19</v>
      </c>
      <c r="O39" s="20" t="s">
        <v>20</v>
      </c>
      <c r="P39" s="20" t="s">
        <v>21</v>
      </c>
      <c r="Q39" s="20" t="s">
        <v>22</v>
      </c>
      <c r="R39" s="20" t="s">
        <v>23</v>
      </c>
      <c r="S39" s="20" t="s">
        <v>24</v>
      </c>
      <c r="T39" s="20" t="s">
        <v>25</v>
      </c>
      <c r="U39" s="20" t="s">
        <v>26</v>
      </c>
      <c r="V39" s="20" t="s">
        <v>27</v>
      </c>
      <c r="W39" s="20" t="s">
        <v>28</v>
      </c>
      <c r="X39" s="20" t="s">
        <v>29</v>
      </c>
      <c r="Y39" s="22" t="s">
        <v>30</v>
      </c>
      <c r="Z39" s="21" t="s">
        <v>11</v>
      </c>
      <c r="AA39" s="20" t="s">
        <v>12</v>
      </c>
      <c r="AB39" s="20" t="s">
        <v>13</v>
      </c>
      <c r="AC39" s="20" t="s">
        <v>14</v>
      </c>
      <c r="AD39" s="20" t="s">
        <v>15</v>
      </c>
      <c r="AE39" s="20" t="s">
        <v>16</v>
      </c>
      <c r="AF39" s="20" t="s">
        <v>17</v>
      </c>
      <c r="AG39" s="20" t="s">
        <v>18</v>
      </c>
      <c r="AH39" s="20" t="s">
        <v>19</v>
      </c>
      <c r="AI39" s="20" t="s">
        <v>20</v>
      </c>
      <c r="AJ39" s="20" t="s">
        <v>21</v>
      </c>
      <c r="AK39" s="20" t="s">
        <v>22</v>
      </c>
      <c r="AL39" s="20" t="s">
        <v>23</v>
      </c>
      <c r="AM39" s="20" t="s">
        <v>24</v>
      </c>
      <c r="AN39" s="20" t="s">
        <v>25</v>
      </c>
      <c r="AO39" s="20" t="s">
        <v>26</v>
      </c>
      <c r="AP39" s="20" t="s">
        <v>27</v>
      </c>
      <c r="AQ39" s="20" t="s">
        <v>28</v>
      </c>
      <c r="AR39" s="20" t="s">
        <v>29</v>
      </c>
      <c r="AS39" s="22" t="s">
        <v>30</v>
      </c>
      <c r="AT39" s="12"/>
      <c r="AU39" s="11"/>
      <c r="AV39" s="23"/>
    </row>
    <row r="40">
      <c r="B40" s="24">
        <v>0.0</v>
      </c>
      <c r="C40" s="25" t="s">
        <v>11</v>
      </c>
      <c r="D40" s="25">
        <v>1.0</v>
      </c>
      <c r="E40" s="25">
        <v>0.0</v>
      </c>
      <c r="F40" s="26">
        <v>0.0</v>
      </c>
      <c r="G40" s="26">
        <v>0.0</v>
      </c>
      <c r="H40" s="26">
        <v>0.0</v>
      </c>
      <c r="I40" s="26">
        <v>0.0</v>
      </c>
      <c r="J40" s="26">
        <v>0.0</v>
      </c>
      <c r="K40" s="26">
        <v>0.0</v>
      </c>
      <c r="L40" s="26">
        <v>0.0</v>
      </c>
      <c r="M40" s="26">
        <v>0.0</v>
      </c>
      <c r="N40" s="26">
        <v>0.0</v>
      </c>
      <c r="O40" s="26">
        <v>0.0</v>
      </c>
      <c r="P40" s="26">
        <v>0.0</v>
      </c>
      <c r="Q40" s="26">
        <v>0.0</v>
      </c>
      <c r="R40" s="26">
        <v>8.0</v>
      </c>
      <c r="S40" s="26">
        <v>0.0</v>
      </c>
      <c r="T40" s="26">
        <v>0.0</v>
      </c>
      <c r="U40" s="26">
        <v>11.0</v>
      </c>
      <c r="V40" s="26">
        <v>17.0</v>
      </c>
      <c r="W40" s="26">
        <v>0.0</v>
      </c>
      <c r="X40" s="26">
        <v>42.0</v>
      </c>
      <c r="Y40" s="25">
        <v>38.0</v>
      </c>
      <c r="Z40" s="26">
        <v>5.0</v>
      </c>
      <c r="AA40" s="26">
        <v>0.0</v>
      </c>
      <c r="AB40" s="26">
        <v>1.0</v>
      </c>
      <c r="AC40" s="26">
        <v>1.0</v>
      </c>
      <c r="AD40" s="26">
        <v>24.0</v>
      </c>
      <c r="AE40" s="26">
        <v>23.0</v>
      </c>
      <c r="AF40" s="26">
        <v>8.0</v>
      </c>
      <c r="AG40" s="26">
        <v>0.0</v>
      </c>
      <c r="AH40" s="26">
        <v>10.0</v>
      </c>
      <c r="AI40" s="26">
        <v>12.0</v>
      </c>
      <c r="AJ40" s="26">
        <v>4.0</v>
      </c>
      <c r="AK40" s="26">
        <v>12.0</v>
      </c>
      <c r="AL40" s="26">
        <v>10.0</v>
      </c>
      <c r="AM40" s="26">
        <v>13.0</v>
      </c>
      <c r="AN40" s="26">
        <v>3.0</v>
      </c>
      <c r="AO40" s="26">
        <v>14.0</v>
      </c>
      <c r="AP40" s="26">
        <v>20.0</v>
      </c>
      <c r="AQ40" s="26">
        <v>25.0</v>
      </c>
      <c r="AR40" s="26">
        <v>30.0</v>
      </c>
      <c r="AS40" s="25">
        <v>29.0</v>
      </c>
      <c r="AT40" s="26">
        <v>48.0</v>
      </c>
      <c r="AU40" s="27">
        <v>48.0</v>
      </c>
    </row>
    <row r="41">
      <c r="B41" s="24">
        <v>1.0</v>
      </c>
      <c r="C41" s="25" t="s">
        <v>31</v>
      </c>
      <c r="D41" s="25">
        <v>1.0</v>
      </c>
      <c r="E41" s="25">
        <v>1.0</v>
      </c>
      <c r="F41" s="26">
        <v>1.0</v>
      </c>
      <c r="G41" s="26">
        <v>1.0</v>
      </c>
      <c r="H41" s="26">
        <v>1.0</v>
      </c>
      <c r="I41" s="26">
        <v>1.0</v>
      </c>
      <c r="J41" s="26">
        <v>1.0</v>
      </c>
      <c r="K41" s="26">
        <v>1.0</v>
      </c>
      <c r="L41" s="26">
        <v>1.0</v>
      </c>
      <c r="M41" s="26">
        <v>1.0</v>
      </c>
      <c r="N41" s="26">
        <v>1.0</v>
      </c>
      <c r="O41" s="26">
        <v>1.0</v>
      </c>
      <c r="P41" s="26">
        <v>1.0</v>
      </c>
      <c r="Q41" s="26">
        <v>1.0</v>
      </c>
      <c r="R41" s="26">
        <v>8.0</v>
      </c>
      <c r="S41" s="26">
        <v>1.0</v>
      </c>
      <c r="T41" s="26">
        <v>1.0</v>
      </c>
      <c r="U41" s="26">
        <v>11.0</v>
      </c>
      <c r="V41" s="26">
        <v>17.0</v>
      </c>
      <c r="W41" s="26">
        <v>1.0</v>
      </c>
      <c r="X41" s="26">
        <v>42.0</v>
      </c>
      <c r="Y41" s="25">
        <v>38.0</v>
      </c>
      <c r="Z41" s="26">
        <v>6.0</v>
      </c>
      <c r="AA41" s="26">
        <v>1.0</v>
      </c>
      <c r="AB41" s="26">
        <v>1.0</v>
      </c>
      <c r="AC41" s="26">
        <v>1.0</v>
      </c>
      <c r="AD41" s="26">
        <v>24.0</v>
      </c>
      <c r="AE41" s="26">
        <v>22.0</v>
      </c>
      <c r="AF41" s="26">
        <v>8.0</v>
      </c>
      <c r="AG41" s="26">
        <v>1.0</v>
      </c>
      <c r="AH41" s="26">
        <v>10.0</v>
      </c>
      <c r="AI41" s="26">
        <v>12.0</v>
      </c>
      <c r="AJ41" s="26">
        <v>4.0</v>
      </c>
      <c r="AK41" s="26">
        <v>12.0</v>
      </c>
      <c r="AL41" s="26">
        <v>10.0</v>
      </c>
      <c r="AM41" s="26">
        <v>13.0</v>
      </c>
      <c r="AN41" s="26">
        <v>3.0</v>
      </c>
      <c r="AO41" s="26">
        <v>14.0</v>
      </c>
      <c r="AP41" s="26">
        <v>20.0</v>
      </c>
      <c r="AQ41" s="26">
        <v>25.0</v>
      </c>
      <c r="AR41" s="26">
        <v>30.0</v>
      </c>
      <c r="AS41" s="25">
        <v>29.0</v>
      </c>
      <c r="AT41" s="26">
        <v>48.0</v>
      </c>
      <c r="AU41" s="27">
        <v>48.0</v>
      </c>
    </row>
    <row r="42">
      <c r="B42" s="24">
        <v>2.0</v>
      </c>
      <c r="C42" s="25" t="s">
        <v>32</v>
      </c>
      <c r="D42" s="25">
        <v>1.0</v>
      </c>
      <c r="E42" s="25">
        <v>0.0</v>
      </c>
      <c r="F42" s="26">
        <v>2.0</v>
      </c>
      <c r="G42" s="26">
        <f t="shared" ref="G42:Q42" si="1">F42</f>
        <v>2</v>
      </c>
      <c r="H42" s="26">
        <f t="shared" si="1"/>
        <v>2</v>
      </c>
      <c r="I42" s="26">
        <f t="shared" si="1"/>
        <v>2</v>
      </c>
      <c r="J42" s="26">
        <f t="shared" si="1"/>
        <v>2</v>
      </c>
      <c r="K42" s="26">
        <f t="shared" si="1"/>
        <v>2</v>
      </c>
      <c r="L42" s="26">
        <f t="shared" si="1"/>
        <v>2</v>
      </c>
      <c r="M42" s="26">
        <f t="shared" si="1"/>
        <v>2</v>
      </c>
      <c r="N42" s="26">
        <f t="shared" si="1"/>
        <v>2</v>
      </c>
      <c r="O42" s="26">
        <f t="shared" si="1"/>
        <v>2</v>
      </c>
      <c r="P42" s="26">
        <f t="shared" si="1"/>
        <v>2</v>
      </c>
      <c r="Q42" s="26">
        <f t="shared" si="1"/>
        <v>2</v>
      </c>
      <c r="R42" s="26">
        <v>8.0</v>
      </c>
      <c r="S42" s="28">
        <f t="shared" ref="S42:S43" si="3">F42</f>
        <v>2</v>
      </c>
      <c r="T42" s="28">
        <f t="shared" ref="T42:T43" si="4">F42</f>
        <v>2</v>
      </c>
      <c r="U42" s="26">
        <v>11.0</v>
      </c>
      <c r="V42" s="26">
        <v>17.0</v>
      </c>
      <c r="W42" s="28">
        <f t="shared" ref="W42:W47" si="5">F42</f>
        <v>2</v>
      </c>
      <c r="X42" s="26">
        <v>43.0</v>
      </c>
      <c r="Y42" s="25">
        <v>39.0</v>
      </c>
      <c r="Z42" s="26">
        <v>5.0</v>
      </c>
      <c r="AA42" s="26">
        <v>0.0</v>
      </c>
      <c r="AB42" s="26">
        <v>1.0</v>
      </c>
      <c r="AC42" s="26">
        <v>1.0</v>
      </c>
      <c r="AD42" s="26">
        <v>24.0</v>
      </c>
      <c r="AE42" s="26">
        <v>23.0</v>
      </c>
      <c r="AF42" s="26">
        <v>8.0</v>
      </c>
      <c r="AG42" s="26">
        <v>0.0</v>
      </c>
      <c r="AH42" s="26">
        <v>10.0</v>
      </c>
      <c r="AI42" s="26">
        <v>12.0</v>
      </c>
      <c r="AJ42" s="26">
        <v>4.0</v>
      </c>
      <c r="AK42" s="26">
        <v>12.0</v>
      </c>
      <c r="AL42" s="26">
        <v>10.0</v>
      </c>
      <c r="AM42" s="26">
        <v>13.0</v>
      </c>
      <c r="AN42" s="26">
        <v>3.0</v>
      </c>
      <c r="AO42" s="26">
        <v>14.0</v>
      </c>
      <c r="AP42" s="26">
        <v>20.0</v>
      </c>
      <c r="AQ42" s="26">
        <v>25.0</v>
      </c>
      <c r="AR42" s="26">
        <v>31.0</v>
      </c>
      <c r="AS42" s="25">
        <v>29.0</v>
      </c>
      <c r="AT42" s="26">
        <v>48.0</v>
      </c>
      <c r="AU42" s="27">
        <v>48.0</v>
      </c>
    </row>
    <row r="43">
      <c r="B43" s="24">
        <v>3.0</v>
      </c>
      <c r="C43" s="25" t="s">
        <v>33</v>
      </c>
      <c r="D43" s="25">
        <v>1.0</v>
      </c>
      <c r="E43" s="25">
        <v>1.0</v>
      </c>
      <c r="F43" s="26">
        <v>3.0</v>
      </c>
      <c r="G43" s="26">
        <f t="shared" ref="G43:Q43" si="2">F43</f>
        <v>3</v>
      </c>
      <c r="H43" s="26">
        <f t="shared" si="2"/>
        <v>3</v>
      </c>
      <c r="I43" s="26">
        <f t="shared" si="2"/>
        <v>3</v>
      </c>
      <c r="J43" s="26">
        <f t="shared" si="2"/>
        <v>3</v>
      </c>
      <c r="K43" s="26">
        <f t="shared" si="2"/>
        <v>3</v>
      </c>
      <c r="L43" s="26">
        <f t="shared" si="2"/>
        <v>3</v>
      </c>
      <c r="M43" s="26">
        <f t="shared" si="2"/>
        <v>3</v>
      </c>
      <c r="N43" s="26">
        <f t="shared" si="2"/>
        <v>3</v>
      </c>
      <c r="O43" s="26">
        <f t="shared" si="2"/>
        <v>3</v>
      </c>
      <c r="P43" s="26">
        <f t="shared" si="2"/>
        <v>3</v>
      </c>
      <c r="Q43" s="26">
        <f t="shared" si="2"/>
        <v>3</v>
      </c>
      <c r="R43" s="26">
        <v>8.0</v>
      </c>
      <c r="S43" s="28">
        <f t="shared" si="3"/>
        <v>3</v>
      </c>
      <c r="T43" s="28">
        <f t="shared" si="4"/>
        <v>3</v>
      </c>
      <c r="U43" s="26">
        <v>11.0</v>
      </c>
      <c r="V43" s="26">
        <v>17.0</v>
      </c>
      <c r="W43" s="28">
        <f t="shared" si="5"/>
        <v>3</v>
      </c>
      <c r="X43" s="28">
        <f t="shared" ref="X43:Y43" si="6">X42</f>
        <v>43</v>
      </c>
      <c r="Y43" s="29">
        <f t="shared" si="6"/>
        <v>39</v>
      </c>
      <c r="Z43" s="26">
        <v>6.0</v>
      </c>
      <c r="AA43" s="26">
        <v>1.0</v>
      </c>
      <c r="AB43" s="26">
        <v>1.0</v>
      </c>
      <c r="AC43" s="26">
        <v>1.0</v>
      </c>
      <c r="AD43" s="26">
        <v>24.0</v>
      </c>
      <c r="AE43" s="26">
        <v>22.0</v>
      </c>
      <c r="AF43" s="26">
        <v>8.0</v>
      </c>
      <c r="AG43" s="26">
        <v>1.0</v>
      </c>
      <c r="AH43" s="26">
        <v>10.0</v>
      </c>
      <c r="AI43" s="26">
        <v>12.0</v>
      </c>
      <c r="AJ43" s="26">
        <v>4.0</v>
      </c>
      <c r="AK43" s="26">
        <v>12.0</v>
      </c>
      <c r="AL43" s="26">
        <v>10.0</v>
      </c>
      <c r="AM43" s="26">
        <v>13.0</v>
      </c>
      <c r="AN43" s="26">
        <v>3.0</v>
      </c>
      <c r="AO43" s="26">
        <v>14.0</v>
      </c>
      <c r="AP43" s="26">
        <v>20.0</v>
      </c>
      <c r="AQ43" s="26">
        <v>25.0</v>
      </c>
      <c r="AR43" s="26">
        <v>31.0</v>
      </c>
      <c r="AS43" s="25">
        <v>29.0</v>
      </c>
      <c r="AT43" s="26">
        <v>48.0</v>
      </c>
      <c r="AU43" s="27">
        <v>48.0</v>
      </c>
    </row>
    <row r="44">
      <c r="B44" s="24">
        <v>4.0</v>
      </c>
      <c r="C44" s="25" t="s">
        <v>21</v>
      </c>
      <c r="D44" s="25">
        <v>0.0</v>
      </c>
      <c r="E44" s="25">
        <v>0.0</v>
      </c>
      <c r="F44" s="26">
        <v>4.0</v>
      </c>
      <c r="G44" s="26">
        <f t="shared" ref="G44:L44" si="7">F44</f>
        <v>4</v>
      </c>
      <c r="H44" s="26">
        <f t="shared" si="7"/>
        <v>4</v>
      </c>
      <c r="I44" s="26">
        <f t="shared" si="7"/>
        <v>4</v>
      </c>
      <c r="J44" s="26">
        <f t="shared" si="7"/>
        <v>4</v>
      </c>
      <c r="K44" s="26">
        <f t="shared" si="7"/>
        <v>4</v>
      </c>
      <c r="L44" s="26">
        <f t="shared" si="7"/>
        <v>4</v>
      </c>
      <c r="N44" s="28">
        <f t="shared" ref="N44:Q44" si="8">F44</f>
        <v>4</v>
      </c>
      <c r="O44" s="28">
        <f t="shared" si="8"/>
        <v>4</v>
      </c>
      <c r="P44" s="28">
        <f t="shared" si="8"/>
        <v>4</v>
      </c>
      <c r="Q44" s="28">
        <f t="shared" si="8"/>
        <v>4</v>
      </c>
      <c r="R44" s="26">
        <v>8.0</v>
      </c>
      <c r="S44" s="28">
        <f t="shared" ref="S44:T44" si="9">K44</f>
        <v>4</v>
      </c>
      <c r="T44" s="28">
        <f t="shared" si="9"/>
        <v>4</v>
      </c>
      <c r="U44" s="26">
        <v>11.0</v>
      </c>
      <c r="V44" s="26">
        <v>17.0</v>
      </c>
      <c r="W44" s="28">
        <f t="shared" si="5"/>
        <v>4</v>
      </c>
      <c r="X44" s="28">
        <f t="shared" ref="X44:Y44" si="10">X42</f>
        <v>43</v>
      </c>
      <c r="Y44" s="29">
        <f t="shared" si="10"/>
        <v>39</v>
      </c>
      <c r="Z44" s="26">
        <v>5.0</v>
      </c>
      <c r="AA44" s="26">
        <v>0.0</v>
      </c>
      <c r="AB44" s="26">
        <v>1.0</v>
      </c>
      <c r="AC44" s="26">
        <v>1.0</v>
      </c>
      <c r="AD44" s="26">
        <v>4.0</v>
      </c>
      <c r="AE44" s="26">
        <v>23.0</v>
      </c>
      <c r="AF44" s="26">
        <v>9.0</v>
      </c>
      <c r="AG44" s="26">
        <v>0.0</v>
      </c>
      <c r="AH44" s="26">
        <v>11.0</v>
      </c>
      <c r="AI44" s="26">
        <v>12.0</v>
      </c>
      <c r="AJ44" s="26">
        <v>4.0</v>
      </c>
      <c r="AK44" s="26">
        <v>12.0</v>
      </c>
      <c r="AL44" s="26">
        <v>10.0</v>
      </c>
      <c r="AM44" s="26">
        <v>13.0</v>
      </c>
      <c r="AN44" s="26">
        <v>3.0</v>
      </c>
      <c r="AO44" s="26">
        <v>14.0</v>
      </c>
      <c r="AP44" s="26">
        <v>20.0</v>
      </c>
      <c r="AQ44" s="26">
        <v>25.0</v>
      </c>
      <c r="AR44" s="26">
        <v>31.0</v>
      </c>
      <c r="AS44" s="25">
        <v>29.0</v>
      </c>
      <c r="AT44" s="26">
        <v>48.0</v>
      </c>
      <c r="AU44" s="27">
        <v>48.0</v>
      </c>
    </row>
    <row r="45">
      <c r="B45" s="24">
        <v>5.0</v>
      </c>
      <c r="C45" s="25" t="s">
        <v>34</v>
      </c>
      <c r="D45" s="25">
        <v>0.0</v>
      </c>
      <c r="E45" s="25">
        <v>0.0</v>
      </c>
      <c r="F45" s="26">
        <v>5.0</v>
      </c>
      <c r="G45" s="26">
        <f t="shared" ref="G45:L45" si="11">F45</f>
        <v>5</v>
      </c>
      <c r="H45" s="26">
        <f t="shared" si="11"/>
        <v>5</v>
      </c>
      <c r="I45" s="26">
        <f t="shared" si="11"/>
        <v>5</v>
      </c>
      <c r="J45" s="26">
        <f t="shared" si="11"/>
        <v>5</v>
      </c>
      <c r="K45" s="26">
        <f t="shared" si="11"/>
        <v>5</v>
      </c>
      <c r="L45" s="26">
        <f t="shared" si="11"/>
        <v>5</v>
      </c>
      <c r="N45" s="28">
        <f t="shared" ref="N45:Q45" si="12">F45</f>
        <v>5</v>
      </c>
      <c r="O45" s="28">
        <f t="shared" si="12"/>
        <v>5</v>
      </c>
      <c r="P45" s="28">
        <f t="shared" si="12"/>
        <v>5</v>
      </c>
      <c r="Q45" s="28">
        <f t="shared" si="12"/>
        <v>5</v>
      </c>
      <c r="R45" s="26">
        <v>8.0</v>
      </c>
      <c r="S45" s="28">
        <f t="shared" ref="S45:T45" si="13">K45</f>
        <v>5</v>
      </c>
      <c r="T45" s="28">
        <f t="shared" si="13"/>
        <v>5</v>
      </c>
      <c r="U45" s="26">
        <v>11.0</v>
      </c>
      <c r="V45" s="26">
        <v>17.0</v>
      </c>
      <c r="W45" s="28">
        <f t="shared" si="5"/>
        <v>5</v>
      </c>
      <c r="X45" s="26">
        <v>44.0</v>
      </c>
      <c r="Y45" s="25">
        <v>40.0</v>
      </c>
      <c r="Z45" s="26">
        <v>5.0</v>
      </c>
      <c r="AA45" s="26">
        <v>0.0</v>
      </c>
      <c r="AB45" s="26">
        <v>1.0</v>
      </c>
      <c r="AC45" s="26">
        <v>1.0</v>
      </c>
      <c r="AD45" s="26">
        <v>4.0</v>
      </c>
      <c r="AE45" s="26">
        <v>23.0</v>
      </c>
      <c r="AF45" s="26">
        <v>9.0</v>
      </c>
      <c r="AG45" s="26">
        <v>4.0</v>
      </c>
      <c r="AH45" s="26">
        <v>11.0</v>
      </c>
      <c r="AI45" s="26">
        <v>12.0</v>
      </c>
      <c r="AJ45" s="26">
        <v>4.0</v>
      </c>
      <c r="AK45" s="26">
        <v>12.0</v>
      </c>
      <c r="AL45" s="26">
        <v>10.0</v>
      </c>
      <c r="AM45" s="26">
        <v>13.0</v>
      </c>
      <c r="AN45" s="26">
        <v>3.0</v>
      </c>
      <c r="AO45" s="26">
        <v>14.0</v>
      </c>
      <c r="AP45" s="26">
        <v>20.0</v>
      </c>
      <c r="AQ45" s="26">
        <v>25.0</v>
      </c>
      <c r="AR45" s="26">
        <v>32.0</v>
      </c>
      <c r="AS45" s="25">
        <v>29.0</v>
      </c>
      <c r="AT45" s="26">
        <v>48.0</v>
      </c>
      <c r="AU45" s="27">
        <v>48.0</v>
      </c>
    </row>
    <row r="46">
      <c r="B46" s="24">
        <v>6.0</v>
      </c>
      <c r="C46" s="25" t="s">
        <v>35</v>
      </c>
      <c r="D46" s="25">
        <v>1.0</v>
      </c>
      <c r="E46" s="25">
        <v>1.0</v>
      </c>
      <c r="F46" s="26">
        <v>6.0</v>
      </c>
      <c r="G46" s="26">
        <f t="shared" ref="G46:Q46" si="14">F46</f>
        <v>6</v>
      </c>
      <c r="H46" s="26">
        <f t="shared" si="14"/>
        <v>6</v>
      </c>
      <c r="I46" s="26">
        <f t="shared" si="14"/>
        <v>6</v>
      </c>
      <c r="J46" s="26">
        <f t="shared" si="14"/>
        <v>6</v>
      </c>
      <c r="K46" s="26">
        <f t="shared" si="14"/>
        <v>6</v>
      </c>
      <c r="L46" s="26">
        <f t="shared" si="14"/>
        <v>6</v>
      </c>
      <c r="M46" s="26">
        <f t="shared" si="14"/>
        <v>6</v>
      </c>
      <c r="N46" s="26">
        <f t="shared" si="14"/>
        <v>6</v>
      </c>
      <c r="O46" s="26">
        <f t="shared" si="14"/>
        <v>6</v>
      </c>
      <c r="P46" s="26">
        <f t="shared" si="14"/>
        <v>6</v>
      </c>
      <c r="Q46" s="26">
        <f t="shared" si="14"/>
        <v>6</v>
      </c>
      <c r="R46" s="26">
        <v>8.0</v>
      </c>
      <c r="S46" s="28">
        <f t="shared" ref="S46:T46" si="15">F46</f>
        <v>6</v>
      </c>
      <c r="T46" s="28">
        <f t="shared" si="15"/>
        <v>6</v>
      </c>
      <c r="U46" s="26">
        <v>11.0</v>
      </c>
      <c r="V46" s="26">
        <v>17.0</v>
      </c>
      <c r="W46" s="28">
        <f t="shared" si="5"/>
        <v>6</v>
      </c>
      <c r="X46" s="28">
        <f t="shared" ref="X46:Y46" si="16">X45</f>
        <v>44</v>
      </c>
      <c r="Y46" s="29">
        <f t="shared" si="16"/>
        <v>40</v>
      </c>
      <c r="Z46" s="26">
        <v>5.0</v>
      </c>
      <c r="AA46" s="26">
        <v>0.0</v>
      </c>
      <c r="AB46" s="26">
        <v>1.0</v>
      </c>
      <c r="AC46" s="26">
        <v>1.0</v>
      </c>
      <c r="AD46" s="26">
        <v>5.0</v>
      </c>
      <c r="AE46" s="26">
        <v>23.0</v>
      </c>
      <c r="AF46" s="26">
        <v>9.0</v>
      </c>
      <c r="AG46" s="26">
        <v>0.0</v>
      </c>
      <c r="AH46" s="26">
        <v>10.0</v>
      </c>
      <c r="AI46" s="26">
        <v>12.0</v>
      </c>
      <c r="AJ46" s="26">
        <v>4.0</v>
      </c>
      <c r="AK46" s="26">
        <v>12.0</v>
      </c>
      <c r="AL46" s="26">
        <v>10.0</v>
      </c>
      <c r="AM46" s="26">
        <v>13.0</v>
      </c>
      <c r="AN46" s="26">
        <v>3.0</v>
      </c>
      <c r="AO46" s="26">
        <v>14.0</v>
      </c>
      <c r="AP46" s="26">
        <v>20.0</v>
      </c>
      <c r="AQ46" s="26">
        <v>25.0</v>
      </c>
      <c r="AR46" s="26">
        <v>32.0</v>
      </c>
      <c r="AS46" s="25">
        <v>29.0</v>
      </c>
      <c r="AT46" s="26">
        <v>48.0</v>
      </c>
      <c r="AU46" s="27">
        <v>48.0</v>
      </c>
    </row>
    <row r="47">
      <c r="B47" s="24">
        <v>7.0</v>
      </c>
      <c r="C47" s="25" t="s">
        <v>36</v>
      </c>
      <c r="D47" s="25">
        <v>1.0</v>
      </c>
      <c r="E47" s="25">
        <v>1.0</v>
      </c>
      <c r="F47" s="26">
        <v>7.0</v>
      </c>
      <c r="G47" s="26">
        <f t="shared" ref="G47:T47" si="17">F47</f>
        <v>7</v>
      </c>
      <c r="H47" s="26">
        <f t="shared" si="17"/>
        <v>7</v>
      </c>
      <c r="I47" s="26">
        <f t="shared" si="17"/>
        <v>7</v>
      </c>
      <c r="J47" s="26">
        <f t="shared" si="17"/>
        <v>7</v>
      </c>
      <c r="K47" s="26">
        <f t="shared" si="17"/>
        <v>7</v>
      </c>
      <c r="L47" s="26">
        <f t="shared" si="17"/>
        <v>7</v>
      </c>
      <c r="M47" s="26">
        <f t="shared" si="17"/>
        <v>7</v>
      </c>
      <c r="N47" s="26">
        <f t="shared" si="17"/>
        <v>7</v>
      </c>
      <c r="O47" s="26">
        <f t="shared" si="17"/>
        <v>7</v>
      </c>
      <c r="P47" s="26">
        <f t="shared" si="17"/>
        <v>7</v>
      </c>
      <c r="Q47" s="26">
        <f t="shared" si="17"/>
        <v>7</v>
      </c>
      <c r="R47" s="26">
        <f t="shared" si="17"/>
        <v>7</v>
      </c>
      <c r="S47" s="26">
        <f t="shared" si="17"/>
        <v>7</v>
      </c>
      <c r="T47" s="26">
        <f t="shared" si="17"/>
        <v>7</v>
      </c>
      <c r="U47" s="26">
        <v>11.0</v>
      </c>
      <c r="V47" s="26">
        <v>17.0</v>
      </c>
      <c r="W47" s="28">
        <f t="shared" si="5"/>
        <v>7</v>
      </c>
      <c r="X47" s="28">
        <f t="shared" ref="X47:Y47" si="18">X46</f>
        <v>44</v>
      </c>
      <c r="Y47" s="29">
        <f t="shared" si="18"/>
        <v>40</v>
      </c>
      <c r="Z47" s="26">
        <v>5.0</v>
      </c>
      <c r="AA47" s="26">
        <v>7.0</v>
      </c>
      <c r="AB47" s="26">
        <v>1.0</v>
      </c>
      <c r="AC47" s="26">
        <v>1.0</v>
      </c>
      <c r="AD47" s="26">
        <v>7.0</v>
      </c>
      <c r="AE47" s="26">
        <v>23.0</v>
      </c>
      <c r="AF47" s="26">
        <v>8.0</v>
      </c>
      <c r="AG47" s="26">
        <v>1.0</v>
      </c>
      <c r="AH47" s="26">
        <v>10.0</v>
      </c>
      <c r="AI47" s="26">
        <v>12.0</v>
      </c>
      <c r="AJ47" s="26">
        <v>0.0</v>
      </c>
      <c r="AK47" s="26">
        <v>12.0</v>
      </c>
      <c r="AL47" s="26">
        <v>10.0</v>
      </c>
      <c r="AM47" s="26">
        <v>13.0</v>
      </c>
      <c r="AN47" s="26">
        <v>3.0</v>
      </c>
      <c r="AO47" s="26">
        <v>14.0</v>
      </c>
      <c r="AP47" s="26">
        <v>20.0</v>
      </c>
      <c r="AQ47" s="26">
        <v>25.0</v>
      </c>
      <c r="AR47" s="26">
        <v>32.0</v>
      </c>
      <c r="AS47" s="25">
        <v>29.0</v>
      </c>
      <c r="AT47" s="26">
        <v>48.0</v>
      </c>
      <c r="AU47" s="27">
        <v>48.0</v>
      </c>
    </row>
    <row r="48">
      <c r="B48" s="24">
        <v>8.0</v>
      </c>
      <c r="C48" s="25" t="s">
        <v>37</v>
      </c>
      <c r="D48" s="25">
        <v>1.0</v>
      </c>
      <c r="E48" s="25">
        <v>1.0</v>
      </c>
      <c r="F48" s="26">
        <v>8.0</v>
      </c>
      <c r="G48" s="26">
        <v>8.0</v>
      </c>
      <c r="H48" s="26">
        <v>8.0</v>
      </c>
      <c r="I48" s="26">
        <v>8.0</v>
      </c>
      <c r="J48" s="26">
        <v>8.0</v>
      </c>
      <c r="K48" s="26">
        <v>8.0</v>
      </c>
      <c r="L48" s="26">
        <v>8.0</v>
      </c>
      <c r="N48" s="26">
        <v>8.0</v>
      </c>
      <c r="O48" s="26">
        <v>8.0</v>
      </c>
      <c r="P48" s="26">
        <v>8.0</v>
      </c>
      <c r="Q48" s="26">
        <v>8.0</v>
      </c>
      <c r="R48" s="26">
        <v>8.0</v>
      </c>
      <c r="S48" s="26">
        <v>8.0</v>
      </c>
      <c r="T48" s="26">
        <v>8.0</v>
      </c>
      <c r="U48" s="26">
        <v>11.0</v>
      </c>
      <c r="V48" s="26">
        <v>17.0</v>
      </c>
      <c r="W48" s="26">
        <v>8.0</v>
      </c>
      <c r="X48" s="28">
        <f t="shared" ref="X48:Y48" si="19">X47</f>
        <v>44</v>
      </c>
      <c r="Y48" s="29">
        <f t="shared" si="19"/>
        <v>40</v>
      </c>
      <c r="Z48" s="26">
        <v>5.0</v>
      </c>
      <c r="AA48" s="26">
        <v>0.0</v>
      </c>
      <c r="AB48" s="26">
        <v>1.0</v>
      </c>
      <c r="AC48" s="26">
        <v>1.0</v>
      </c>
      <c r="AD48" s="26">
        <v>8.0</v>
      </c>
      <c r="AE48" s="26">
        <v>23.0</v>
      </c>
      <c r="AF48" s="26">
        <v>8.0</v>
      </c>
      <c r="AG48" s="26">
        <v>0.0</v>
      </c>
      <c r="AH48" s="26">
        <v>10.0</v>
      </c>
      <c r="AI48" s="26">
        <v>12.0</v>
      </c>
      <c r="AJ48" s="26">
        <v>4.0</v>
      </c>
      <c r="AK48" s="26">
        <v>12.0</v>
      </c>
      <c r="AL48" s="26">
        <v>10.0</v>
      </c>
      <c r="AM48" s="26">
        <v>13.0</v>
      </c>
      <c r="AN48" s="26">
        <v>3.0</v>
      </c>
      <c r="AO48" s="26">
        <v>14.0</v>
      </c>
      <c r="AP48" s="26">
        <v>20.0</v>
      </c>
      <c r="AQ48" s="26">
        <v>25.0</v>
      </c>
      <c r="AR48" s="26">
        <v>32.0</v>
      </c>
      <c r="AS48" s="25">
        <v>29.0</v>
      </c>
      <c r="AT48" s="26">
        <v>48.0</v>
      </c>
      <c r="AU48" s="27">
        <v>48.0</v>
      </c>
    </row>
    <row r="49">
      <c r="B49" s="24">
        <v>9.0</v>
      </c>
      <c r="C49" s="25" t="s">
        <v>38</v>
      </c>
      <c r="D49" s="25">
        <v>0.0</v>
      </c>
      <c r="E49" s="25">
        <v>0.0</v>
      </c>
      <c r="F49" s="26">
        <v>9.0</v>
      </c>
      <c r="G49" s="26">
        <f t="shared" ref="G49:L49" si="20">F49</f>
        <v>9</v>
      </c>
      <c r="H49" s="26">
        <f t="shared" si="20"/>
        <v>9</v>
      </c>
      <c r="I49" s="26">
        <f t="shared" si="20"/>
        <v>9</v>
      </c>
      <c r="J49" s="26">
        <f t="shared" si="20"/>
        <v>9</v>
      </c>
      <c r="K49" s="26">
        <f t="shared" si="20"/>
        <v>9</v>
      </c>
      <c r="L49" s="26">
        <f t="shared" si="20"/>
        <v>9</v>
      </c>
      <c r="N49" s="26">
        <f t="shared" ref="N49:T49" si="21">F49</f>
        <v>9</v>
      </c>
      <c r="O49" s="26">
        <f t="shared" si="21"/>
        <v>9</v>
      </c>
      <c r="P49" s="26">
        <f t="shared" si="21"/>
        <v>9</v>
      </c>
      <c r="Q49" s="26">
        <f t="shared" si="21"/>
        <v>9</v>
      </c>
      <c r="R49" s="26">
        <f t="shared" si="21"/>
        <v>9</v>
      </c>
      <c r="S49" s="26">
        <f t="shared" si="21"/>
        <v>9</v>
      </c>
      <c r="T49" s="26">
        <f t="shared" si="21"/>
        <v>9</v>
      </c>
      <c r="U49" s="26">
        <v>11.0</v>
      </c>
      <c r="V49" s="26">
        <v>17.0</v>
      </c>
      <c r="W49" s="28">
        <f t="shared" ref="W49:W50" si="23">F49</f>
        <v>9</v>
      </c>
      <c r="X49" s="26">
        <v>45.0</v>
      </c>
      <c r="Y49" s="25">
        <v>41.0</v>
      </c>
      <c r="Z49" s="26">
        <v>5.0</v>
      </c>
      <c r="AA49" s="26">
        <v>3.0</v>
      </c>
      <c r="AB49" s="26">
        <v>1.0</v>
      </c>
      <c r="AC49" s="26">
        <v>1.0</v>
      </c>
      <c r="AD49" s="26">
        <v>3.0</v>
      </c>
      <c r="AE49" s="26">
        <v>23.0</v>
      </c>
      <c r="AF49" s="26">
        <v>9.0</v>
      </c>
      <c r="AG49" s="26">
        <v>0.0</v>
      </c>
      <c r="AH49" s="26">
        <v>11.0</v>
      </c>
      <c r="AI49" s="26">
        <v>12.0</v>
      </c>
      <c r="AJ49" s="26">
        <v>4.0</v>
      </c>
      <c r="AK49" s="26">
        <v>12.0</v>
      </c>
      <c r="AL49" s="26">
        <v>11.0</v>
      </c>
      <c r="AM49" s="26">
        <v>13.0</v>
      </c>
      <c r="AN49" s="26">
        <v>3.0</v>
      </c>
      <c r="AO49" s="26">
        <v>14.0</v>
      </c>
      <c r="AP49" s="26">
        <v>20.0</v>
      </c>
      <c r="AQ49" s="26">
        <v>25.0</v>
      </c>
      <c r="AR49" s="26">
        <v>33.0</v>
      </c>
      <c r="AS49" s="25">
        <v>29.0</v>
      </c>
      <c r="AT49" s="26">
        <v>48.0</v>
      </c>
      <c r="AU49" s="27">
        <v>48.0</v>
      </c>
    </row>
    <row r="50">
      <c r="B50" s="24">
        <v>10.0</v>
      </c>
      <c r="C50" s="25" t="s">
        <v>19</v>
      </c>
      <c r="D50" s="25">
        <v>1.0</v>
      </c>
      <c r="E50" s="25">
        <v>0.0</v>
      </c>
      <c r="F50" s="26">
        <v>10.0</v>
      </c>
      <c r="G50" s="26">
        <f t="shared" ref="G50:T50" si="22">F50</f>
        <v>10</v>
      </c>
      <c r="H50" s="26">
        <f t="shared" si="22"/>
        <v>10</v>
      </c>
      <c r="I50" s="26">
        <f t="shared" si="22"/>
        <v>10</v>
      </c>
      <c r="J50" s="26">
        <f t="shared" si="22"/>
        <v>10</v>
      </c>
      <c r="K50" s="26">
        <f t="shared" si="22"/>
        <v>10</v>
      </c>
      <c r="L50" s="26">
        <f t="shared" si="22"/>
        <v>10</v>
      </c>
      <c r="M50" s="26">
        <f t="shared" si="22"/>
        <v>10</v>
      </c>
      <c r="N50" s="26">
        <f t="shared" si="22"/>
        <v>10</v>
      </c>
      <c r="O50" s="26">
        <f t="shared" si="22"/>
        <v>10</v>
      </c>
      <c r="P50" s="26">
        <f t="shared" si="22"/>
        <v>10</v>
      </c>
      <c r="Q50" s="26">
        <f t="shared" si="22"/>
        <v>10</v>
      </c>
      <c r="R50" s="26">
        <f t="shared" si="22"/>
        <v>10</v>
      </c>
      <c r="S50" s="26">
        <f t="shared" si="22"/>
        <v>10</v>
      </c>
      <c r="T50" s="26">
        <f t="shared" si="22"/>
        <v>10</v>
      </c>
      <c r="U50" s="26">
        <v>11.0</v>
      </c>
      <c r="V50" s="26">
        <v>17.0</v>
      </c>
      <c r="W50" s="28">
        <f t="shared" si="23"/>
        <v>10</v>
      </c>
      <c r="X50" s="28">
        <f t="shared" ref="X50:Y50" si="24">X49</f>
        <v>45</v>
      </c>
      <c r="Y50" s="29">
        <f t="shared" si="24"/>
        <v>41</v>
      </c>
      <c r="Z50" s="26">
        <v>5.0</v>
      </c>
      <c r="AA50" s="26">
        <v>24.0</v>
      </c>
      <c r="AB50" s="26">
        <v>1.0</v>
      </c>
      <c r="AC50" s="26">
        <v>1.0</v>
      </c>
      <c r="AD50" s="26">
        <v>0.0</v>
      </c>
      <c r="AE50" s="26">
        <v>23.0</v>
      </c>
      <c r="AF50" s="26">
        <v>8.0</v>
      </c>
      <c r="AG50" s="26">
        <v>0.0</v>
      </c>
      <c r="AH50" s="26">
        <v>10.0</v>
      </c>
      <c r="AI50" s="26">
        <v>12.0</v>
      </c>
      <c r="AJ50" s="26">
        <v>4.0</v>
      </c>
      <c r="AK50" s="26">
        <v>12.0</v>
      </c>
      <c r="AL50" s="26">
        <v>10.0</v>
      </c>
      <c r="AM50" s="26">
        <v>13.0</v>
      </c>
      <c r="AN50" s="26">
        <v>3.0</v>
      </c>
      <c r="AO50" s="26">
        <v>14.0</v>
      </c>
      <c r="AP50" s="26">
        <v>20.0</v>
      </c>
      <c r="AQ50" s="26">
        <v>25.0</v>
      </c>
      <c r="AR50" s="26">
        <v>33.0</v>
      </c>
      <c r="AS50" s="25">
        <v>29.0</v>
      </c>
      <c r="AT50" s="26">
        <v>48.0</v>
      </c>
      <c r="AU50" s="27">
        <v>48.0</v>
      </c>
    </row>
    <row r="51">
      <c r="B51" s="24">
        <v>11.0</v>
      </c>
      <c r="C51" s="25" t="s">
        <v>39</v>
      </c>
      <c r="D51" s="25">
        <v>0.0</v>
      </c>
      <c r="E51" s="25">
        <v>0.0</v>
      </c>
      <c r="F51" s="26">
        <v>12.0</v>
      </c>
      <c r="G51" s="26">
        <f t="shared" ref="G51:W51" si="25">F51</f>
        <v>12</v>
      </c>
      <c r="H51" s="26">
        <f t="shared" si="25"/>
        <v>12</v>
      </c>
      <c r="I51" s="26">
        <f t="shared" si="25"/>
        <v>12</v>
      </c>
      <c r="J51" s="26">
        <f t="shared" si="25"/>
        <v>12</v>
      </c>
      <c r="K51" s="26">
        <f t="shared" si="25"/>
        <v>12</v>
      </c>
      <c r="L51" s="26">
        <f t="shared" si="25"/>
        <v>12</v>
      </c>
      <c r="M51" s="26">
        <f t="shared" si="25"/>
        <v>12</v>
      </c>
      <c r="N51" s="26">
        <f t="shared" si="25"/>
        <v>12</v>
      </c>
      <c r="O51" s="26">
        <f t="shared" si="25"/>
        <v>12</v>
      </c>
      <c r="P51" s="26">
        <f t="shared" si="25"/>
        <v>12</v>
      </c>
      <c r="Q51" s="26">
        <f t="shared" si="25"/>
        <v>12</v>
      </c>
      <c r="R51" s="26">
        <f t="shared" si="25"/>
        <v>12</v>
      </c>
      <c r="S51" s="26">
        <f t="shared" si="25"/>
        <v>12</v>
      </c>
      <c r="T51" s="26">
        <f t="shared" si="25"/>
        <v>12</v>
      </c>
      <c r="U51" s="26">
        <f t="shared" si="25"/>
        <v>12</v>
      </c>
      <c r="V51" s="26">
        <f t="shared" si="25"/>
        <v>12</v>
      </c>
      <c r="W51" s="26">
        <f t="shared" si="25"/>
        <v>12</v>
      </c>
      <c r="X51" s="28">
        <f t="shared" ref="X51:Y51" si="26">X50</f>
        <v>45</v>
      </c>
      <c r="Y51" s="29">
        <f t="shared" si="26"/>
        <v>41</v>
      </c>
      <c r="Z51" s="26">
        <v>15.0</v>
      </c>
      <c r="AA51" s="26">
        <v>15.0</v>
      </c>
      <c r="AB51" s="26">
        <v>15.0</v>
      </c>
      <c r="AC51" s="26">
        <v>15.0</v>
      </c>
      <c r="AD51" s="26">
        <v>15.0</v>
      </c>
      <c r="AE51" s="26">
        <v>15.0</v>
      </c>
      <c r="AF51" s="26">
        <v>15.0</v>
      </c>
      <c r="AG51" s="26">
        <v>15.0</v>
      </c>
      <c r="AH51" s="26">
        <v>15.0</v>
      </c>
      <c r="AI51" s="26">
        <v>15.0</v>
      </c>
      <c r="AJ51" s="26">
        <v>15.0</v>
      </c>
      <c r="AK51" s="26">
        <v>15.0</v>
      </c>
      <c r="AL51" s="26">
        <v>15.0</v>
      </c>
      <c r="AM51" s="26">
        <v>15.0</v>
      </c>
      <c r="AN51" s="26">
        <v>15.0</v>
      </c>
      <c r="AO51" s="26">
        <v>15.0</v>
      </c>
      <c r="AP51" s="26">
        <v>15.0</v>
      </c>
      <c r="AQ51" s="26">
        <v>15.0</v>
      </c>
      <c r="AR51" s="26">
        <v>33.0</v>
      </c>
      <c r="AS51" s="25">
        <v>29.0</v>
      </c>
      <c r="AT51" s="26">
        <v>48.0</v>
      </c>
      <c r="AU51" s="27">
        <v>48.0</v>
      </c>
    </row>
    <row r="52">
      <c r="B52" s="24">
        <v>12.0</v>
      </c>
      <c r="C52" s="25" t="s">
        <v>40</v>
      </c>
      <c r="D52" s="25">
        <v>0.0</v>
      </c>
      <c r="E52" s="25">
        <v>0.0</v>
      </c>
      <c r="F52" s="26">
        <v>13.0</v>
      </c>
      <c r="G52" s="26">
        <f t="shared" ref="G52:W52" si="27">F52</f>
        <v>13</v>
      </c>
      <c r="H52" s="26">
        <f t="shared" si="27"/>
        <v>13</v>
      </c>
      <c r="I52" s="26">
        <f t="shared" si="27"/>
        <v>13</v>
      </c>
      <c r="J52" s="26">
        <f t="shared" si="27"/>
        <v>13</v>
      </c>
      <c r="K52" s="26">
        <f t="shared" si="27"/>
        <v>13</v>
      </c>
      <c r="L52" s="26">
        <f t="shared" si="27"/>
        <v>13</v>
      </c>
      <c r="M52" s="26">
        <f t="shared" si="27"/>
        <v>13</v>
      </c>
      <c r="N52" s="26">
        <f t="shared" si="27"/>
        <v>13</v>
      </c>
      <c r="O52" s="26">
        <f t="shared" si="27"/>
        <v>13</v>
      </c>
      <c r="P52" s="26">
        <f t="shared" si="27"/>
        <v>13</v>
      </c>
      <c r="Q52" s="26">
        <f t="shared" si="27"/>
        <v>13</v>
      </c>
      <c r="R52" s="26">
        <f t="shared" si="27"/>
        <v>13</v>
      </c>
      <c r="S52" s="26">
        <f t="shared" si="27"/>
        <v>13</v>
      </c>
      <c r="T52" s="26">
        <f t="shared" si="27"/>
        <v>13</v>
      </c>
      <c r="U52" s="26">
        <f t="shared" si="27"/>
        <v>13</v>
      </c>
      <c r="V52" s="26">
        <f t="shared" si="27"/>
        <v>13</v>
      </c>
      <c r="W52" s="26">
        <f t="shared" si="27"/>
        <v>13</v>
      </c>
      <c r="X52" s="28">
        <f t="shared" ref="X52:Y52" si="28">X51</f>
        <v>45</v>
      </c>
      <c r="Y52" s="29">
        <f t="shared" si="28"/>
        <v>41</v>
      </c>
      <c r="Z52" s="26">
        <v>16.0</v>
      </c>
      <c r="AA52" s="26">
        <v>16.0</v>
      </c>
      <c r="AB52" s="26">
        <v>16.0</v>
      </c>
      <c r="AC52" s="26">
        <v>16.0</v>
      </c>
      <c r="AD52" s="26">
        <v>16.0</v>
      </c>
      <c r="AE52" s="26">
        <v>16.0</v>
      </c>
      <c r="AF52" s="26">
        <v>16.0</v>
      </c>
      <c r="AG52" s="26">
        <v>16.0</v>
      </c>
      <c r="AH52" s="26">
        <v>16.0</v>
      </c>
      <c r="AI52" s="26">
        <v>16.0</v>
      </c>
      <c r="AJ52" s="26">
        <v>16.0</v>
      </c>
      <c r="AK52" s="26">
        <v>16.0</v>
      </c>
      <c r="AL52" s="26">
        <v>16.0</v>
      </c>
      <c r="AM52" s="26">
        <v>16.0</v>
      </c>
      <c r="AN52" s="26">
        <v>16.0</v>
      </c>
      <c r="AO52" s="26">
        <v>16.0</v>
      </c>
      <c r="AP52" s="26">
        <v>16.0</v>
      </c>
      <c r="AQ52" s="26">
        <v>16.0</v>
      </c>
      <c r="AR52" s="26">
        <v>33.0</v>
      </c>
      <c r="AS52" s="25">
        <v>29.0</v>
      </c>
      <c r="AT52" s="26">
        <v>48.0</v>
      </c>
      <c r="AU52" s="27">
        <v>48.0</v>
      </c>
    </row>
    <row r="53">
      <c r="B53" s="24">
        <v>13.0</v>
      </c>
      <c r="C53" s="25" t="s">
        <v>41</v>
      </c>
      <c r="D53" s="25">
        <v>0.0</v>
      </c>
      <c r="E53" s="25">
        <v>0.0</v>
      </c>
      <c r="F53" s="26">
        <v>14.0</v>
      </c>
      <c r="G53" s="26">
        <f t="shared" ref="G53:W53" si="29">F53</f>
        <v>14</v>
      </c>
      <c r="H53" s="26">
        <f t="shared" si="29"/>
        <v>14</v>
      </c>
      <c r="I53" s="26">
        <f t="shared" si="29"/>
        <v>14</v>
      </c>
      <c r="J53" s="26">
        <f t="shared" si="29"/>
        <v>14</v>
      </c>
      <c r="K53" s="26">
        <f t="shared" si="29"/>
        <v>14</v>
      </c>
      <c r="L53" s="26">
        <f t="shared" si="29"/>
        <v>14</v>
      </c>
      <c r="M53" s="26">
        <f t="shared" si="29"/>
        <v>14</v>
      </c>
      <c r="N53" s="26">
        <f t="shared" si="29"/>
        <v>14</v>
      </c>
      <c r="O53" s="26">
        <f t="shared" si="29"/>
        <v>14</v>
      </c>
      <c r="P53" s="26">
        <f t="shared" si="29"/>
        <v>14</v>
      </c>
      <c r="Q53" s="26">
        <f t="shared" si="29"/>
        <v>14</v>
      </c>
      <c r="R53" s="26">
        <f t="shared" si="29"/>
        <v>14</v>
      </c>
      <c r="S53" s="26">
        <f t="shared" si="29"/>
        <v>14</v>
      </c>
      <c r="T53" s="26">
        <f t="shared" si="29"/>
        <v>14</v>
      </c>
      <c r="U53" s="26">
        <f t="shared" si="29"/>
        <v>14</v>
      </c>
      <c r="V53" s="26">
        <f t="shared" si="29"/>
        <v>14</v>
      </c>
      <c r="W53" s="26">
        <f t="shared" si="29"/>
        <v>14</v>
      </c>
      <c r="X53" s="28">
        <f t="shared" ref="X53:Y53" si="30">X52</f>
        <v>45</v>
      </c>
      <c r="Y53" s="29">
        <f t="shared" si="30"/>
        <v>41</v>
      </c>
      <c r="Z53" s="26">
        <v>17.0</v>
      </c>
      <c r="AA53" s="26">
        <v>17.0</v>
      </c>
      <c r="AB53" s="26">
        <v>17.0</v>
      </c>
      <c r="AC53" s="26">
        <v>17.0</v>
      </c>
      <c r="AD53" s="26">
        <v>17.0</v>
      </c>
      <c r="AE53" s="26">
        <v>17.0</v>
      </c>
      <c r="AF53" s="26">
        <v>17.0</v>
      </c>
      <c r="AG53" s="26">
        <v>17.0</v>
      </c>
      <c r="AH53" s="26">
        <v>17.0</v>
      </c>
      <c r="AI53" s="26">
        <v>17.0</v>
      </c>
      <c r="AJ53" s="26">
        <v>17.0</v>
      </c>
      <c r="AK53" s="26">
        <v>17.0</v>
      </c>
      <c r="AL53" s="26">
        <v>17.0</v>
      </c>
      <c r="AM53" s="26">
        <v>17.0</v>
      </c>
      <c r="AN53" s="26">
        <v>17.0</v>
      </c>
      <c r="AO53" s="26">
        <v>17.0</v>
      </c>
      <c r="AP53" s="26">
        <v>17.0</v>
      </c>
      <c r="AQ53" s="26">
        <v>17.0</v>
      </c>
      <c r="AR53" s="26">
        <v>33.0</v>
      </c>
      <c r="AS53" s="25">
        <v>29.0</v>
      </c>
      <c r="AT53" s="26">
        <v>48.0</v>
      </c>
      <c r="AU53" s="27">
        <v>48.0</v>
      </c>
    </row>
    <row r="54">
      <c r="B54" s="24">
        <v>14.0</v>
      </c>
      <c r="C54" s="25" t="s">
        <v>42</v>
      </c>
      <c r="D54" s="25">
        <v>0.0</v>
      </c>
      <c r="E54" s="25">
        <v>0.0</v>
      </c>
      <c r="F54" s="26">
        <v>15.0</v>
      </c>
      <c r="G54" s="26">
        <f t="shared" ref="G54:W54" si="31">F54</f>
        <v>15</v>
      </c>
      <c r="H54" s="26">
        <f t="shared" si="31"/>
        <v>15</v>
      </c>
      <c r="I54" s="26">
        <f t="shared" si="31"/>
        <v>15</v>
      </c>
      <c r="J54" s="26">
        <f t="shared" si="31"/>
        <v>15</v>
      </c>
      <c r="K54" s="26">
        <f t="shared" si="31"/>
        <v>15</v>
      </c>
      <c r="L54" s="26">
        <f t="shared" si="31"/>
        <v>15</v>
      </c>
      <c r="M54" s="26">
        <f t="shared" si="31"/>
        <v>15</v>
      </c>
      <c r="N54" s="26">
        <f t="shared" si="31"/>
        <v>15</v>
      </c>
      <c r="O54" s="26">
        <f t="shared" si="31"/>
        <v>15</v>
      </c>
      <c r="P54" s="26">
        <f t="shared" si="31"/>
        <v>15</v>
      </c>
      <c r="Q54" s="26">
        <f t="shared" si="31"/>
        <v>15</v>
      </c>
      <c r="R54" s="26">
        <f t="shared" si="31"/>
        <v>15</v>
      </c>
      <c r="S54" s="26">
        <f t="shared" si="31"/>
        <v>15</v>
      </c>
      <c r="T54" s="26">
        <f t="shared" si="31"/>
        <v>15</v>
      </c>
      <c r="U54" s="26">
        <f t="shared" si="31"/>
        <v>15</v>
      </c>
      <c r="V54" s="26">
        <f t="shared" si="31"/>
        <v>15</v>
      </c>
      <c r="W54" s="26">
        <f t="shared" si="31"/>
        <v>15</v>
      </c>
      <c r="X54" s="28">
        <f t="shared" ref="X54:Y54" si="32">X53</f>
        <v>45</v>
      </c>
      <c r="Y54" s="29">
        <f t="shared" si="32"/>
        <v>41</v>
      </c>
      <c r="Z54" s="26">
        <v>18.0</v>
      </c>
      <c r="AA54" s="26">
        <v>18.0</v>
      </c>
      <c r="AB54" s="26">
        <v>18.0</v>
      </c>
      <c r="AC54" s="26">
        <v>18.0</v>
      </c>
      <c r="AD54" s="26">
        <v>18.0</v>
      </c>
      <c r="AE54" s="26">
        <v>18.0</v>
      </c>
      <c r="AF54" s="26">
        <v>18.0</v>
      </c>
      <c r="AG54" s="26">
        <v>18.0</v>
      </c>
      <c r="AH54" s="26">
        <v>18.0</v>
      </c>
      <c r="AI54" s="26">
        <v>18.0</v>
      </c>
      <c r="AJ54" s="26">
        <v>18.0</v>
      </c>
      <c r="AK54" s="26">
        <v>18.0</v>
      </c>
      <c r="AL54" s="26">
        <v>18.0</v>
      </c>
      <c r="AM54" s="26">
        <v>18.0</v>
      </c>
      <c r="AN54" s="26">
        <v>18.0</v>
      </c>
      <c r="AO54" s="26">
        <v>18.0</v>
      </c>
      <c r="AP54" s="26">
        <v>18.0</v>
      </c>
      <c r="AQ54" s="26">
        <v>18.0</v>
      </c>
      <c r="AR54" s="26">
        <v>33.0</v>
      </c>
      <c r="AS54" s="25">
        <v>29.0</v>
      </c>
      <c r="AT54" s="26">
        <v>48.0</v>
      </c>
      <c r="AU54" s="27">
        <v>48.0</v>
      </c>
    </row>
    <row r="55">
      <c r="B55" s="24">
        <v>15.0</v>
      </c>
      <c r="C55" s="25" t="s">
        <v>43</v>
      </c>
      <c r="D55" s="25">
        <v>0.0</v>
      </c>
      <c r="E55" s="25">
        <v>0.0</v>
      </c>
      <c r="F55" s="26">
        <v>16.0</v>
      </c>
      <c r="G55" s="26">
        <f t="shared" ref="G55:W55" si="33">F55</f>
        <v>16</v>
      </c>
      <c r="H55" s="26">
        <f t="shared" si="33"/>
        <v>16</v>
      </c>
      <c r="I55" s="26">
        <f t="shared" si="33"/>
        <v>16</v>
      </c>
      <c r="J55" s="26">
        <f t="shared" si="33"/>
        <v>16</v>
      </c>
      <c r="K55" s="26">
        <f t="shared" si="33"/>
        <v>16</v>
      </c>
      <c r="L55" s="26">
        <f t="shared" si="33"/>
        <v>16</v>
      </c>
      <c r="M55" s="26">
        <f t="shared" si="33"/>
        <v>16</v>
      </c>
      <c r="N55" s="26">
        <f t="shared" si="33"/>
        <v>16</v>
      </c>
      <c r="O55" s="26">
        <f t="shared" si="33"/>
        <v>16</v>
      </c>
      <c r="P55" s="26">
        <f t="shared" si="33"/>
        <v>16</v>
      </c>
      <c r="Q55" s="26">
        <f t="shared" si="33"/>
        <v>16</v>
      </c>
      <c r="R55" s="26">
        <f t="shared" si="33"/>
        <v>16</v>
      </c>
      <c r="S55" s="26">
        <f t="shared" si="33"/>
        <v>16</v>
      </c>
      <c r="T55" s="26">
        <f t="shared" si="33"/>
        <v>16</v>
      </c>
      <c r="U55" s="26">
        <f t="shared" si="33"/>
        <v>16</v>
      </c>
      <c r="V55" s="26">
        <f t="shared" si="33"/>
        <v>16</v>
      </c>
      <c r="W55" s="26">
        <f t="shared" si="33"/>
        <v>16</v>
      </c>
      <c r="X55" s="28">
        <f t="shared" ref="X55:Y55" si="34">X54</f>
        <v>45</v>
      </c>
      <c r="Y55" s="29">
        <f t="shared" si="34"/>
        <v>41</v>
      </c>
      <c r="Z55" s="26">
        <v>19.0</v>
      </c>
      <c r="AA55" s="26">
        <v>19.0</v>
      </c>
      <c r="AB55" s="26">
        <v>19.0</v>
      </c>
      <c r="AC55" s="26">
        <v>19.0</v>
      </c>
      <c r="AD55" s="26">
        <v>19.0</v>
      </c>
      <c r="AE55" s="26">
        <v>19.0</v>
      </c>
      <c r="AF55" s="26">
        <v>19.0</v>
      </c>
      <c r="AG55" s="26">
        <v>19.0</v>
      </c>
      <c r="AH55" s="26">
        <v>19.0</v>
      </c>
      <c r="AI55" s="26">
        <v>19.0</v>
      </c>
      <c r="AJ55" s="26">
        <v>19.0</v>
      </c>
      <c r="AK55" s="26">
        <v>19.0</v>
      </c>
      <c r="AL55" s="26">
        <v>19.0</v>
      </c>
      <c r="AM55" s="26">
        <v>19.0</v>
      </c>
      <c r="AN55" s="26">
        <v>19.0</v>
      </c>
      <c r="AO55" s="26">
        <v>19.0</v>
      </c>
      <c r="AP55" s="26">
        <v>19.0</v>
      </c>
      <c r="AQ55" s="26">
        <v>19.0</v>
      </c>
      <c r="AR55" s="26">
        <v>33.0</v>
      </c>
      <c r="AS55" s="25">
        <v>29.0</v>
      </c>
      <c r="AT55" s="26">
        <v>48.0</v>
      </c>
      <c r="AU55" s="27">
        <v>48.0</v>
      </c>
    </row>
    <row r="56">
      <c r="B56" s="24">
        <v>16.0</v>
      </c>
      <c r="C56" s="25" t="s">
        <v>44</v>
      </c>
      <c r="D56" s="25">
        <v>0.0</v>
      </c>
      <c r="E56" s="25">
        <v>0.0</v>
      </c>
      <c r="F56" s="26">
        <v>18.0</v>
      </c>
      <c r="G56" s="26">
        <f t="shared" ref="G56:W56" si="35">F56</f>
        <v>18</v>
      </c>
      <c r="H56" s="26">
        <f t="shared" si="35"/>
        <v>18</v>
      </c>
      <c r="I56" s="26">
        <f t="shared" si="35"/>
        <v>18</v>
      </c>
      <c r="J56" s="26">
        <f t="shared" si="35"/>
        <v>18</v>
      </c>
      <c r="K56" s="26">
        <f t="shared" si="35"/>
        <v>18</v>
      </c>
      <c r="L56" s="26">
        <f t="shared" si="35"/>
        <v>18</v>
      </c>
      <c r="M56" s="26">
        <f t="shared" si="35"/>
        <v>18</v>
      </c>
      <c r="N56" s="26">
        <f t="shared" si="35"/>
        <v>18</v>
      </c>
      <c r="O56" s="26">
        <f t="shared" si="35"/>
        <v>18</v>
      </c>
      <c r="P56" s="26">
        <f t="shared" si="35"/>
        <v>18</v>
      </c>
      <c r="Q56" s="26">
        <f t="shared" si="35"/>
        <v>18</v>
      </c>
      <c r="R56" s="26">
        <f t="shared" si="35"/>
        <v>18</v>
      </c>
      <c r="S56" s="26">
        <f t="shared" si="35"/>
        <v>18</v>
      </c>
      <c r="T56" s="26">
        <f t="shared" si="35"/>
        <v>18</v>
      </c>
      <c r="U56" s="26">
        <f t="shared" si="35"/>
        <v>18</v>
      </c>
      <c r="V56" s="26">
        <f t="shared" si="35"/>
        <v>18</v>
      </c>
      <c r="W56" s="26">
        <f t="shared" si="35"/>
        <v>18</v>
      </c>
      <c r="X56" s="28">
        <f t="shared" ref="X56:Y56" si="36">X55</f>
        <v>45</v>
      </c>
      <c r="Y56" s="29">
        <f t="shared" si="36"/>
        <v>41</v>
      </c>
      <c r="Z56" s="26">
        <v>21.0</v>
      </c>
      <c r="AA56" s="26">
        <v>21.0</v>
      </c>
      <c r="AB56" s="26">
        <v>21.0</v>
      </c>
      <c r="AC56" s="26">
        <v>21.0</v>
      </c>
      <c r="AD56" s="26">
        <v>21.0</v>
      </c>
      <c r="AE56" s="26">
        <v>21.0</v>
      </c>
      <c r="AF56" s="26">
        <v>21.0</v>
      </c>
      <c r="AG56" s="26">
        <v>21.0</v>
      </c>
      <c r="AH56" s="26">
        <v>21.0</v>
      </c>
      <c r="AI56" s="26">
        <v>21.0</v>
      </c>
      <c r="AJ56" s="26">
        <v>21.0</v>
      </c>
      <c r="AK56" s="26">
        <v>21.0</v>
      </c>
      <c r="AL56" s="26">
        <v>21.0</v>
      </c>
      <c r="AM56" s="26">
        <v>21.0</v>
      </c>
      <c r="AN56" s="26">
        <v>21.0</v>
      </c>
      <c r="AO56" s="26">
        <v>21.0</v>
      </c>
      <c r="AP56" s="26">
        <v>21.0</v>
      </c>
      <c r="AQ56" s="26">
        <v>21.0</v>
      </c>
      <c r="AR56" s="26">
        <v>33.0</v>
      </c>
      <c r="AS56" s="25">
        <v>29.0</v>
      </c>
      <c r="AT56" s="26">
        <v>48.0</v>
      </c>
      <c r="AU56" s="27">
        <v>48.0</v>
      </c>
    </row>
    <row r="57">
      <c r="B57" s="24">
        <v>17.0</v>
      </c>
      <c r="C57" s="25" t="s">
        <v>45</v>
      </c>
      <c r="D57" s="25">
        <v>0.0</v>
      </c>
      <c r="E57" s="25">
        <v>0.0</v>
      </c>
      <c r="F57" s="26">
        <v>16.0</v>
      </c>
      <c r="G57" s="28">
        <f t="shared" ref="G57:W57" si="37">F57</f>
        <v>16</v>
      </c>
      <c r="H57" s="28">
        <f t="shared" si="37"/>
        <v>16</v>
      </c>
      <c r="I57" s="28">
        <f t="shared" si="37"/>
        <v>16</v>
      </c>
      <c r="J57" s="28">
        <f t="shared" si="37"/>
        <v>16</v>
      </c>
      <c r="K57" s="28">
        <f t="shared" si="37"/>
        <v>16</v>
      </c>
      <c r="L57" s="28">
        <f t="shared" si="37"/>
        <v>16</v>
      </c>
      <c r="M57" s="28">
        <f t="shared" si="37"/>
        <v>16</v>
      </c>
      <c r="N57" s="28">
        <f t="shared" si="37"/>
        <v>16</v>
      </c>
      <c r="O57" s="28">
        <f t="shared" si="37"/>
        <v>16</v>
      </c>
      <c r="P57" s="28">
        <f t="shared" si="37"/>
        <v>16</v>
      </c>
      <c r="Q57" s="28">
        <f t="shared" si="37"/>
        <v>16</v>
      </c>
      <c r="R57" s="28">
        <f t="shared" si="37"/>
        <v>16</v>
      </c>
      <c r="S57" s="28">
        <f t="shared" si="37"/>
        <v>16</v>
      </c>
      <c r="T57" s="28">
        <f t="shared" si="37"/>
        <v>16</v>
      </c>
      <c r="U57" s="28">
        <f t="shared" si="37"/>
        <v>16</v>
      </c>
      <c r="V57" s="28">
        <f t="shared" si="37"/>
        <v>16</v>
      </c>
      <c r="W57" s="28">
        <f t="shared" si="37"/>
        <v>16</v>
      </c>
      <c r="X57" s="28">
        <f t="shared" ref="X57:Y57" si="38">X56</f>
        <v>45</v>
      </c>
      <c r="Y57" s="29">
        <f t="shared" si="38"/>
        <v>41</v>
      </c>
      <c r="Z57" s="26">
        <v>21.0</v>
      </c>
      <c r="AA57" s="26">
        <v>21.0</v>
      </c>
      <c r="AB57" s="26">
        <v>21.0</v>
      </c>
      <c r="AC57" s="26">
        <v>21.0</v>
      </c>
      <c r="AD57" s="26">
        <v>21.0</v>
      </c>
      <c r="AE57" s="26">
        <v>21.0</v>
      </c>
      <c r="AF57" s="26">
        <v>21.0</v>
      </c>
      <c r="AG57" s="26">
        <v>21.0</v>
      </c>
      <c r="AH57" s="26">
        <v>21.0</v>
      </c>
      <c r="AI57" s="26">
        <v>21.0</v>
      </c>
      <c r="AJ57" s="26">
        <v>21.0</v>
      </c>
      <c r="AK57" s="26">
        <v>21.0</v>
      </c>
      <c r="AL57" s="26">
        <v>21.0</v>
      </c>
      <c r="AM57" s="26">
        <v>21.0</v>
      </c>
      <c r="AN57" s="26">
        <v>21.0</v>
      </c>
      <c r="AO57" s="26">
        <v>21.0</v>
      </c>
      <c r="AP57" s="26">
        <v>21.0</v>
      </c>
      <c r="AQ57" s="26">
        <v>21.0</v>
      </c>
      <c r="AR57" s="26">
        <v>33.0</v>
      </c>
      <c r="AS57" s="25">
        <v>29.0</v>
      </c>
      <c r="AT57" s="26">
        <v>48.0</v>
      </c>
      <c r="AU57" s="27">
        <v>48.0</v>
      </c>
    </row>
    <row r="58">
      <c r="B58" s="24">
        <v>18.0</v>
      </c>
      <c r="C58" s="25" t="s">
        <v>46</v>
      </c>
      <c r="D58" s="25">
        <v>0.0</v>
      </c>
      <c r="E58" s="25">
        <v>0.0</v>
      </c>
      <c r="F58" s="26">
        <v>19.0</v>
      </c>
      <c r="G58" s="26">
        <f t="shared" ref="G58:W58" si="39">F58</f>
        <v>19</v>
      </c>
      <c r="H58" s="26">
        <f t="shared" si="39"/>
        <v>19</v>
      </c>
      <c r="I58" s="26">
        <f t="shared" si="39"/>
        <v>19</v>
      </c>
      <c r="J58" s="26">
        <f t="shared" si="39"/>
        <v>19</v>
      </c>
      <c r="K58" s="26">
        <f t="shared" si="39"/>
        <v>19</v>
      </c>
      <c r="L58" s="26">
        <f t="shared" si="39"/>
        <v>19</v>
      </c>
      <c r="M58" s="26">
        <f t="shared" si="39"/>
        <v>19</v>
      </c>
      <c r="N58" s="26">
        <f t="shared" si="39"/>
        <v>19</v>
      </c>
      <c r="O58" s="26">
        <f t="shared" si="39"/>
        <v>19</v>
      </c>
      <c r="P58" s="26">
        <f t="shared" si="39"/>
        <v>19</v>
      </c>
      <c r="Q58" s="26">
        <f t="shared" si="39"/>
        <v>19</v>
      </c>
      <c r="R58" s="26">
        <f t="shared" si="39"/>
        <v>19</v>
      </c>
      <c r="S58" s="26">
        <f t="shared" si="39"/>
        <v>19</v>
      </c>
      <c r="T58" s="26">
        <f t="shared" si="39"/>
        <v>19</v>
      </c>
      <c r="U58" s="26">
        <f t="shared" si="39"/>
        <v>19</v>
      </c>
      <c r="V58" s="26">
        <f t="shared" si="39"/>
        <v>19</v>
      </c>
      <c r="W58" s="26">
        <f t="shared" si="39"/>
        <v>19</v>
      </c>
      <c r="X58" s="28">
        <f t="shared" ref="X58:Y58" si="40">X57</f>
        <v>45</v>
      </c>
      <c r="Y58" s="29">
        <f t="shared" si="40"/>
        <v>41</v>
      </c>
      <c r="Z58" s="26">
        <v>3.0</v>
      </c>
      <c r="AA58" s="26">
        <v>3.0</v>
      </c>
      <c r="AB58" s="26">
        <v>3.0</v>
      </c>
      <c r="AC58" s="26">
        <v>3.0</v>
      </c>
      <c r="AD58" s="26">
        <v>3.0</v>
      </c>
      <c r="AE58" s="26">
        <v>3.0</v>
      </c>
      <c r="AF58" s="26">
        <v>3.0</v>
      </c>
      <c r="AG58" s="26">
        <v>3.0</v>
      </c>
      <c r="AH58" s="26">
        <v>3.0</v>
      </c>
      <c r="AI58" s="26">
        <v>3.0</v>
      </c>
      <c r="AJ58" s="26">
        <v>3.0</v>
      </c>
      <c r="AK58" s="26">
        <v>3.0</v>
      </c>
      <c r="AL58" s="26">
        <v>3.0</v>
      </c>
      <c r="AM58" s="26">
        <v>3.0</v>
      </c>
      <c r="AN58" s="26">
        <v>3.0</v>
      </c>
      <c r="AO58" s="26">
        <v>3.0</v>
      </c>
      <c r="AP58" s="26">
        <v>3.0</v>
      </c>
      <c r="AQ58" s="26">
        <v>3.0</v>
      </c>
      <c r="AR58" s="26">
        <v>33.0</v>
      </c>
      <c r="AS58" s="25">
        <v>29.0</v>
      </c>
      <c r="AT58" s="26">
        <v>48.0</v>
      </c>
      <c r="AU58" s="27">
        <v>48.0</v>
      </c>
    </row>
    <row r="59">
      <c r="B59" s="24">
        <v>19.0</v>
      </c>
      <c r="C59" s="25" t="s">
        <v>47</v>
      </c>
      <c r="D59" s="25">
        <v>0.0</v>
      </c>
      <c r="E59" s="25">
        <v>0.0</v>
      </c>
      <c r="F59" s="26">
        <v>46.0</v>
      </c>
      <c r="G59" s="26">
        <f t="shared" ref="G59:W59" si="41">F59</f>
        <v>46</v>
      </c>
      <c r="H59" s="26">
        <f t="shared" si="41"/>
        <v>46</v>
      </c>
      <c r="I59" s="26">
        <f t="shared" si="41"/>
        <v>46</v>
      </c>
      <c r="J59" s="26">
        <f t="shared" si="41"/>
        <v>46</v>
      </c>
      <c r="K59" s="26">
        <f t="shared" si="41"/>
        <v>46</v>
      </c>
      <c r="L59" s="26">
        <f t="shared" si="41"/>
        <v>46</v>
      </c>
      <c r="M59" s="26">
        <f t="shared" si="41"/>
        <v>46</v>
      </c>
      <c r="N59" s="26">
        <f t="shared" si="41"/>
        <v>46</v>
      </c>
      <c r="O59" s="26">
        <f t="shared" si="41"/>
        <v>46</v>
      </c>
      <c r="P59" s="26">
        <f t="shared" si="41"/>
        <v>46</v>
      </c>
      <c r="Q59" s="26">
        <f t="shared" si="41"/>
        <v>46</v>
      </c>
      <c r="R59" s="26">
        <f t="shared" si="41"/>
        <v>46</v>
      </c>
      <c r="S59" s="26">
        <f t="shared" si="41"/>
        <v>46</v>
      </c>
      <c r="T59" s="26">
        <f t="shared" si="41"/>
        <v>46</v>
      </c>
      <c r="U59" s="26">
        <f t="shared" si="41"/>
        <v>46</v>
      </c>
      <c r="V59" s="26">
        <f t="shared" si="41"/>
        <v>46</v>
      </c>
      <c r="W59" s="26">
        <f t="shared" si="41"/>
        <v>46</v>
      </c>
      <c r="X59" s="28">
        <f t="shared" ref="X59:Y59" si="42">X58</f>
        <v>45</v>
      </c>
      <c r="Y59" s="29">
        <f t="shared" si="42"/>
        <v>41</v>
      </c>
      <c r="Z59" s="26">
        <v>34.0</v>
      </c>
      <c r="AA59" s="26">
        <v>34.0</v>
      </c>
      <c r="AB59" s="26">
        <v>34.0</v>
      </c>
      <c r="AC59" s="26">
        <v>34.0</v>
      </c>
      <c r="AD59" s="26">
        <v>34.0</v>
      </c>
      <c r="AE59" s="26">
        <v>34.0</v>
      </c>
      <c r="AF59" s="26">
        <v>34.0</v>
      </c>
      <c r="AG59" s="26">
        <v>34.0</v>
      </c>
      <c r="AH59" s="26">
        <v>34.0</v>
      </c>
      <c r="AI59" s="26">
        <v>34.0</v>
      </c>
      <c r="AJ59" s="26">
        <v>34.0</v>
      </c>
      <c r="AK59" s="26">
        <v>34.0</v>
      </c>
      <c r="AL59" s="26">
        <v>34.0</v>
      </c>
      <c r="AM59" s="26">
        <v>34.0</v>
      </c>
      <c r="AN59" s="26">
        <v>34.0</v>
      </c>
      <c r="AO59" s="26">
        <v>34.0</v>
      </c>
      <c r="AP59" s="26">
        <v>34.0</v>
      </c>
      <c r="AQ59" s="26">
        <v>34.0</v>
      </c>
      <c r="AR59" s="26">
        <v>33.0</v>
      </c>
      <c r="AS59" s="25">
        <v>29.0</v>
      </c>
      <c r="AT59" s="26">
        <v>48.0</v>
      </c>
      <c r="AU59" s="27">
        <v>48.0</v>
      </c>
    </row>
    <row r="60">
      <c r="B60" s="24">
        <v>20.0</v>
      </c>
      <c r="C60" s="25" t="s">
        <v>48</v>
      </c>
      <c r="D60" s="25">
        <v>0.0</v>
      </c>
      <c r="E60" s="25">
        <v>0.0</v>
      </c>
      <c r="F60" s="26">
        <v>37.0</v>
      </c>
      <c r="G60" s="26">
        <f>F60</f>
        <v>37</v>
      </c>
      <c r="H60" s="28">
        <f t="shared" ref="H60:N60" si="43">F60</f>
        <v>37</v>
      </c>
      <c r="I60" s="28">
        <f t="shared" si="43"/>
        <v>37</v>
      </c>
      <c r="J60" s="28">
        <f t="shared" si="43"/>
        <v>37</v>
      </c>
      <c r="K60" s="28">
        <f t="shared" si="43"/>
        <v>37</v>
      </c>
      <c r="L60" s="28">
        <f t="shared" si="43"/>
        <v>37</v>
      </c>
      <c r="M60" s="28">
        <f t="shared" si="43"/>
        <v>37</v>
      </c>
      <c r="N60" s="28">
        <f t="shared" si="43"/>
        <v>37</v>
      </c>
      <c r="O60" s="26">
        <v>36.0</v>
      </c>
      <c r="P60" s="28">
        <f t="shared" ref="P60:W60" si="44">N60</f>
        <v>37</v>
      </c>
      <c r="Q60" s="28">
        <f t="shared" si="44"/>
        <v>36</v>
      </c>
      <c r="R60" s="28">
        <f t="shared" si="44"/>
        <v>37</v>
      </c>
      <c r="S60" s="28">
        <f t="shared" si="44"/>
        <v>36</v>
      </c>
      <c r="T60" s="28">
        <f t="shared" si="44"/>
        <v>37</v>
      </c>
      <c r="U60" s="28">
        <f t="shared" si="44"/>
        <v>36</v>
      </c>
      <c r="V60" s="28">
        <f t="shared" si="44"/>
        <v>37</v>
      </c>
      <c r="W60" s="28">
        <f t="shared" si="44"/>
        <v>36</v>
      </c>
      <c r="X60" s="28">
        <f t="shared" ref="X60:Y60" si="45">X59</f>
        <v>45</v>
      </c>
      <c r="Y60" s="29">
        <f t="shared" si="45"/>
        <v>41</v>
      </c>
      <c r="Z60" s="26">
        <v>28.0</v>
      </c>
      <c r="AA60" s="26">
        <v>28.0</v>
      </c>
      <c r="AB60" s="26">
        <v>28.0</v>
      </c>
      <c r="AC60" s="26">
        <v>28.0</v>
      </c>
      <c r="AD60" s="26">
        <v>28.0</v>
      </c>
      <c r="AE60" s="26">
        <v>28.0</v>
      </c>
      <c r="AF60" s="26">
        <v>28.0</v>
      </c>
      <c r="AG60" s="26">
        <v>28.0</v>
      </c>
      <c r="AH60" s="26">
        <v>28.0</v>
      </c>
      <c r="AI60" s="26">
        <v>28.0</v>
      </c>
      <c r="AJ60" s="26">
        <v>28.0</v>
      </c>
      <c r="AK60" s="26">
        <v>28.0</v>
      </c>
      <c r="AL60" s="26">
        <v>28.0</v>
      </c>
      <c r="AM60" s="26">
        <v>28.0</v>
      </c>
      <c r="AN60" s="26">
        <v>28.0</v>
      </c>
      <c r="AO60" s="26">
        <v>28.0</v>
      </c>
      <c r="AP60" s="26">
        <v>28.0</v>
      </c>
      <c r="AQ60" s="26">
        <v>28.0</v>
      </c>
      <c r="AR60" s="26">
        <v>33.0</v>
      </c>
      <c r="AS60" s="25">
        <v>29.0</v>
      </c>
      <c r="AT60" s="26">
        <v>48.0</v>
      </c>
      <c r="AU60" s="27">
        <v>48.0</v>
      </c>
    </row>
    <row r="61">
      <c r="B61" s="30">
        <v>21.0</v>
      </c>
      <c r="C61" s="31" t="s">
        <v>49</v>
      </c>
      <c r="D61" s="31">
        <v>0.0</v>
      </c>
      <c r="E61" s="31">
        <v>0.0</v>
      </c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1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1"/>
      <c r="AT61" s="32">
        <v>48.0</v>
      </c>
      <c r="AU61" s="33">
        <v>48.0</v>
      </c>
    </row>
    <row r="62">
      <c r="B62" s="24">
        <v>22.0</v>
      </c>
      <c r="C62" s="25" t="s">
        <v>50</v>
      </c>
      <c r="D62" s="25">
        <v>1.0</v>
      </c>
      <c r="E62" s="25">
        <v>1.0</v>
      </c>
      <c r="Y62" s="25"/>
      <c r="AS62" s="25"/>
      <c r="AT62" s="26">
        <v>48.0</v>
      </c>
      <c r="AU62" s="27">
        <v>48.0</v>
      </c>
    </row>
    <row r="63">
      <c r="B63" s="24">
        <v>23.0</v>
      </c>
      <c r="C63" s="25" t="s">
        <v>51</v>
      </c>
      <c r="D63" s="25">
        <v>1.0</v>
      </c>
      <c r="E63" s="25">
        <v>1.0</v>
      </c>
      <c r="Y63" s="25"/>
      <c r="AS63" s="25"/>
      <c r="AT63" s="26">
        <v>48.0</v>
      </c>
      <c r="AU63" s="27">
        <v>48.0</v>
      </c>
    </row>
    <row r="64">
      <c r="B64" s="24">
        <v>24.0</v>
      </c>
      <c r="C64" s="25" t="s">
        <v>52</v>
      </c>
      <c r="D64" s="25">
        <v>1.0</v>
      </c>
      <c r="E64" s="25">
        <v>1.0</v>
      </c>
      <c r="Y64" s="25"/>
      <c r="AS64" s="25"/>
      <c r="AT64" s="26">
        <v>48.0</v>
      </c>
      <c r="AU64" s="27">
        <v>48.0</v>
      </c>
    </row>
    <row r="65">
      <c r="B65" s="24">
        <v>25.0</v>
      </c>
      <c r="C65" s="25" t="s">
        <v>53</v>
      </c>
      <c r="D65" s="25">
        <v>1.0</v>
      </c>
      <c r="E65" s="25">
        <v>1.0</v>
      </c>
      <c r="Y65" s="25"/>
      <c r="AS65" s="25"/>
      <c r="AT65" s="26">
        <v>48.0</v>
      </c>
      <c r="AU65" s="27">
        <v>48.0</v>
      </c>
    </row>
    <row r="66">
      <c r="B66" s="24">
        <v>26.0</v>
      </c>
      <c r="C66" s="25" t="s">
        <v>54</v>
      </c>
      <c r="D66" s="25">
        <v>1.0</v>
      </c>
      <c r="E66" s="25">
        <v>1.0</v>
      </c>
      <c r="Y66" s="25"/>
      <c r="AS66" s="25"/>
      <c r="AT66" s="26">
        <v>48.0</v>
      </c>
      <c r="AU66" s="27">
        <v>48.0</v>
      </c>
    </row>
    <row r="67">
      <c r="B67" s="24">
        <v>27.0</v>
      </c>
      <c r="C67" s="25" t="s">
        <v>55</v>
      </c>
      <c r="D67" s="25">
        <v>0.0</v>
      </c>
      <c r="E67" s="25">
        <v>0.0</v>
      </c>
      <c r="Y67" s="25"/>
      <c r="AS67" s="25"/>
      <c r="AT67" s="26">
        <v>48.0</v>
      </c>
      <c r="AU67" s="27">
        <v>48.0</v>
      </c>
    </row>
    <row r="68">
      <c r="B68" s="24">
        <v>28.0</v>
      </c>
      <c r="C68" s="25" t="s">
        <v>56</v>
      </c>
      <c r="D68" s="25">
        <v>0.0</v>
      </c>
      <c r="E68" s="25">
        <v>0.0</v>
      </c>
      <c r="Y68" s="25"/>
      <c r="AS68" s="25"/>
      <c r="AT68" s="26">
        <v>48.0</v>
      </c>
      <c r="AU68" s="27">
        <v>48.0</v>
      </c>
    </row>
    <row r="69">
      <c r="B69" s="24">
        <v>29.0</v>
      </c>
      <c r="C69" s="25" t="s">
        <v>57</v>
      </c>
      <c r="D69" s="25">
        <v>1.0</v>
      </c>
      <c r="E69" s="25">
        <v>1.0</v>
      </c>
      <c r="Y69" s="25"/>
      <c r="AS69" s="25"/>
      <c r="AT69" s="26">
        <v>48.0</v>
      </c>
      <c r="AU69" s="27">
        <v>48.0</v>
      </c>
    </row>
    <row r="70">
      <c r="B70" s="24">
        <v>30.0</v>
      </c>
      <c r="C70" s="25" t="s">
        <v>58</v>
      </c>
      <c r="D70" s="25">
        <v>1.0</v>
      </c>
      <c r="E70" s="25">
        <v>1.0</v>
      </c>
      <c r="Y70" s="25"/>
      <c r="AS70" s="25"/>
      <c r="AT70" s="26">
        <v>48.0</v>
      </c>
      <c r="AU70" s="27">
        <v>48.0</v>
      </c>
    </row>
    <row r="71">
      <c r="B71" s="24">
        <v>31.0</v>
      </c>
      <c r="C71" s="25" t="s">
        <v>59</v>
      </c>
      <c r="D71" s="25">
        <v>1.0</v>
      </c>
      <c r="E71" s="25">
        <v>1.0</v>
      </c>
      <c r="Y71" s="25"/>
      <c r="AS71" s="25"/>
      <c r="AT71" s="26">
        <v>48.0</v>
      </c>
      <c r="AU71" s="27">
        <v>48.0</v>
      </c>
    </row>
    <row r="72">
      <c r="B72" s="24">
        <v>32.0</v>
      </c>
      <c r="C72" s="25" t="s">
        <v>60</v>
      </c>
      <c r="D72" s="25">
        <v>1.0</v>
      </c>
      <c r="E72" s="25">
        <v>1.0</v>
      </c>
      <c r="Y72" s="25"/>
      <c r="AS72" s="25"/>
      <c r="AT72" s="26">
        <v>48.0</v>
      </c>
      <c r="AU72" s="27">
        <v>48.0</v>
      </c>
    </row>
    <row r="73">
      <c r="B73" s="24">
        <v>33.0</v>
      </c>
      <c r="C73" s="25" t="s">
        <v>61</v>
      </c>
      <c r="D73" s="25">
        <v>1.0</v>
      </c>
      <c r="E73" s="25">
        <v>1.0</v>
      </c>
      <c r="Y73" s="25"/>
      <c r="AS73" s="25"/>
      <c r="AT73" s="26">
        <v>48.0</v>
      </c>
      <c r="AU73" s="27">
        <v>48.0</v>
      </c>
    </row>
    <row r="74">
      <c r="B74" s="24">
        <v>34.0</v>
      </c>
      <c r="C74" s="25" t="s">
        <v>62</v>
      </c>
      <c r="D74" s="25">
        <v>1.0</v>
      </c>
      <c r="E74" s="25">
        <v>1.0</v>
      </c>
      <c r="Y74" s="25"/>
      <c r="AS74" s="25"/>
      <c r="AT74" s="26">
        <v>48.0</v>
      </c>
      <c r="AU74" s="27">
        <v>48.0</v>
      </c>
    </row>
    <row r="75">
      <c r="B75" s="24">
        <v>35.0</v>
      </c>
      <c r="C75" s="25" t="s">
        <v>63</v>
      </c>
      <c r="D75" s="25">
        <v>1.0</v>
      </c>
      <c r="E75" s="25">
        <v>0.0</v>
      </c>
      <c r="Y75" s="25"/>
      <c r="AS75" s="25"/>
      <c r="AT75" s="26">
        <v>48.0</v>
      </c>
      <c r="AU75" s="27">
        <v>48.0</v>
      </c>
    </row>
    <row r="76">
      <c r="B76" s="24">
        <v>36.0</v>
      </c>
      <c r="C76" s="25" t="s">
        <v>64</v>
      </c>
      <c r="D76" s="25">
        <v>1.0</v>
      </c>
      <c r="E76" s="25">
        <v>0.0</v>
      </c>
      <c r="Y76" s="25"/>
      <c r="AS76" s="25"/>
      <c r="AT76" s="26">
        <v>48.0</v>
      </c>
      <c r="AU76" s="27">
        <v>48.0</v>
      </c>
    </row>
    <row r="77">
      <c r="B77" s="24">
        <v>37.0</v>
      </c>
      <c r="C77" s="25" t="s">
        <v>65</v>
      </c>
      <c r="D77" s="25">
        <v>1.0</v>
      </c>
      <c r="E77" s="25">
        <v>0.0</v>
      </c>
      <c r="Y77" s="25"/>
      <c r="AS77" s="25"/>
      <c r="AT77" s="26">
        <v>48.0</v>
      </c>
      <c r="AU77" s="27">
        <v>48.0</v>
      </c>
    </row>
    <row r="78">
      <c r="B78" s="24">
        <v>38.0</v>
      </c>
      <c r="C78" s="25" t="s">
        <v>66</v>
      </c>
      <c r="D78" s="25">
        <v>1.0</v>
      </c>
      <c r="E78" s="25">
        <v>1.0</v>
      </c>
      <c r="Y78" s="25"/>
      <c r="AS78" s="25"/>
      <c r="AT78" s="26">
        <v>48.0</v>
      </c>
      <c r="AU78" s="27">
        <v>48.0</v>
      </c>
    </row>
    <row r="79">
      <c r="B79" s="24">
        <v>39.0</v>
      </c>
      <c r="C79" s="25" t="s">
        <v>67</v>
      </c>
      <c r="D79" s="25">
        <v>1.0</v>
      </c>
      <c r="E79" s="25">
        <v>1.0</v>
      </c>
      <c r="Y79" s="25"/>
      <c r="AS79" s="25"/>
      <c r="AT79" s="26">
        <v>48.0</v>
      </c>
      <c r="AU79" s="27">
        <v>48.0</v>
      </c>
    </row>
    <row r="80">
      <c r="B80" s="24">
        <v>40.0</v>
      </c>
      <c r="C80" s="25" t="s">
        <v>68</v>
      </c>
      <c r="D80" s="25">
        <v>1.0</v>
      </c>
      <c r="E80" s="25">
        <v>1.0</v>
      </c>
      <c r="Y80" s="25"/>
      <c r="AS80" s="25"/>
      <c r="AT80" s="26">
        <v>48.0</v>
      </c>
      <c r="AU80" s="27">
        <v>48.0</v>
      </c>
    </row>
    <row r="81">
      <c r="B81" s="24">
        <v>41.0</v>
      </c>
      <c r="C81" s="25" t="s">
        <v>69</v>
      </c>
      <c r="D81" s="25">
        <v>0.0</v>
      </c>
      <c r="E81" s="25">
        <v>0.0</v>
      </c>
      <c r="Y81" s="25"/>
      <c r="AS81" s="25"/>
      <c r="AT81" s="26">
        <v>48.0</v>
      </c>
      <c r="AU81" s="27">
        <v>48.0</v>
      </c>
    </row>
    <row r="82">
      <c r="B82" s="24">
        <v>42.0</v>
      </c>
      <c r="C82" s="25" t="s">
        <v>70</v>
      </c>
      <c r="D82" s="25">
        <v>1.0</v>
      </c>
      <c r="E82" s="25">
        <v>0.0</v>
      </c>
      <c r="Y82" s="25"/>
      <c r="AS82" s="25"/>
      <c r="AT82" s="26">
        <v>48.0</v>
      </c>
      <c r="AU82" s="27">
        <v>48.0</v>
      </c>
    </row>
    <row r="83">
      <c r="B83" s="24">
        <v>43.0</v>
      </c>
      <c r="C83" s="25" t="s">
        <v>71</v>
      </c>
      <c r="D83" s="25">
        <v>1.0</v>
      </c>
      <c r="E83" s="25">
        <v>0.0</v>
      </c>
      <c r="Y83" s="25"/>
      <c r="AS83" s="25"/>
      <c r="AT83" s="26">
        <v>48.0</v>
      </c>
      <c r="AU83" s="27">
        <v>48.0</v>
      </c>
    </row>
    <row r="84">
      <c r="B84" s="24">
        <v>44.0</v>
      </c>
      <c r="C84" s="25" t="s">
        <v>72</v>
      </c>
      <c r="D84" s="25">
        <v>1.0</v>
      </c>
      <c r="E84" s="25">
        <v>0.0</v>
      </c>
      <c r="Y84" s="25"/>
      <c r="AS84" s="25"/>
      <c r="AT84" s="26">
        <v>48.0</v>
      </c>
      <c r="AU84" s="27">
        <v>48.0</v>
      </c>
    </row>
    <row r="85">
      <c r="B85" s="24">
        <v>45.0</v>
      </c>
      <c r="C85" s="25" t="s">
        <v>73</v>
      </c>
      <c r="D85" s="25">
        <v>0.0</v>
      </c>
      <c r="E85" s="25">
        <v>0.0</v>
      </c>
      <c r="Y85" s="25"/>
      <c r="AS85" s="25"/>
      <c r="AT85" s="26">
        <v>48.0</v>
      </c>
      <c r="AU85" s="27">
        <v>48.0</v>
      </c>
    </row>
    <row r="86">
      <c r="B86" s="24">
        <v>46.0</v>
      </c>
      <c r="C86" s="25" t="s">
        <v>74</v>
      </c>
      <c r="D86" s="25">
        <v>0.0</v>
      </c>
      <c r="E86" s="25">
        <v>0.0</v>
      </c>
      <c r="Y86" s="25"/>
      <c r="AS86" s="25"/>
      <c r="AT86" s="26">
        <v>48.0</v>
      </c>
      <c r="AU86" s="27">
        <v>48.0</v>
      </c>
    </row>
    <row r="87">
      <c r="B87" s="24">
        <v>47.0</v>
      </c>
      <c r="C87" s="25" t="s">
        <v>75</v>
      </c>
      <c r="D87" s="25">
        <v>1.0</v>
      </c>
      <c r="E87" s="25">
        <v>1.0</v>
      </c>
      <c r="Y87" s="25"/>
      <c r="AS87" s="25"/>
      <c r="AT87" s="26">
        <v>48.0</v>
      </c>
      <c r="AU87" s="27">
        <v>48.0</v>
      </c>
    </row>
    <row r="88">
      <c r="B88" s="24">
        <v>48.0</v>
      </c>
      <c r="C88" s="25" t="s">
        <v>76</v>
      </c>
      <c r="D88" s="25">
        <v>1.0</v>
      </c>
      <c r="E88" s="25">
        <v>0.0</v>
      </c>
      <c r="Y88" s="25"/>
      <c r="AS88" s="25"/>
      <c r="AT88" s="26">
        <v>48.0</v>
      </c>
      <c r="AU88" s="27">
        <v>48.0</v>
      </c>
    </row>
    <row r="89">
      <c r="B89" s="24">
        <v>49.0</v>
      </c>
      <c r="C89" s="25" t="s">
        <v>77</v>
      </c>
      <c r="D89" s="25">
        <v>1.0</v>
      </c>
      <c r="E89" s="25">
        <v>0.0</v>
      </c>
      <c r="Y89" s="25"/>
      <c r="AS89" s="25"/>
      <c r="AT89" s="26">
        <v>48.0</v>
      </c>
      <c r="AU89" s="27">
        <v>48.0</v>
      </c>
    </row>
    <row r="90">
      <c r="B90" s="24">
        <v>50.0</v>
      </c>
      <c r="C90" s="25" t="s">
        <v>78</v>
      </c>
      <c r="D90" s="25">
        <v>1.0</v>
      </c>
      <c r="E90" s="25">
        <v>0.0</v>
      </c>
      <c r="Y90" s="25"/>
      <c r="AS90" s="25"/>
      <c r="AT90" s="26">
        <v>48.0</v>
      </c>
      <c r="AU90" s="27">
        <v>48.0</v>
      </c>
    </row>
    <row r="91">
      <c r="B91" s="24">
        <v>51.0</v>
      </c>
      <c r="C91" s="25" t="s">
        <v>79</v>
      </c>
      <c r="D91" s="25">
        <v>1.0</v>
      </c>
      <c r="E91" s="25">
        <v>1.0</v>
      </c>
      <c r="Y91" s="25"/>
      <c r="AS91" s="25"/>
      <c r="AT91" s="26">
        <v>48.0</v>
      </c>
      <c r="AU91" s="27">
        <v>48.0</v>
      </c>
    </row>
    <row r="92">
      <c r="B92" s="24">
        <v>52.0</v>
      </c>
      <c r="C92" s="25" t="s">
        <v>80</v>
      </c>
      <c r="D92" s="25">
        <v>1.0</v>
      </c>
      <c r="E92" s="25">
        <v>1.0</v>
      </c>
      <c r="Y92" s="25"/>
      <c r="AS92" s="25"/>
      <c r="AT92" s="26">
        <v>48.0</v>
      </c>
      <c r="AU92" s="27">
        <v>48.0</v>
      </c>
    </row>
    <row r="93">
      <c r="B93" s="24">
        <v>53.0</v>
      </c>
      <c r="C93" s="25" t="s">
        <v>81</v>
      </c>
      <c r="D93" s="25">
        <v>1.0</v>
      </c>
      <c r="E93" s="25">
        <v>1.0</v>
      </c>
      <c r="Y93" s="25"/>
      <c r="AS93" s="25"/>
      <c r="AT93" s="26">
        <v>48.0</v>
      </c>
      <c r="AU93" s="27">
        <v>48.0</v>
      </c>
    </row>
    <row r="94">
      <c r="B94" s="24">
        <v>54.0</v>
      </c>
      <c r="C94" s="25" t="s">
        <v>82</v>
      </c>
      <c r="D94" s="25">
        <v>1.0</v>
      </c>
      <c r="E94" s="25">
        <v>1.0</v>
      </c>
      <c r="Y94" s="25"/>
      <c r="AS94" s="25"/>
      <c r="AT94" s="26">
        <v>48.0</v>
      </c>
      <c r="AU94" s="27">
        <v>48.0</v>
      </c>
    </row>
    <row r="95">
      <c r="B95" s="24">
        <v>55.0</v>
      </c>
      <c r="C95" s="25" t="s">
        <v>83</v>
      </c>
      <c r="D95" s="25">
        <v>1.0</v>
      </c>
      <c r="E95" s="25">
        <v>0.0</v>
      </c>
      <c r="Y95" s="25"/>
      <c r="AS95" s="25"/>
      <c r="AT95" s="26">
        <v>48.0</v>
      </c>
      <c r="AU95" s="27">
        <v>48.0</v>
      </c>
    </row>
    <row r="96">
      <c r="B96" s="24">
        <v>56.0</v>
      </c>
      <c r="C96" s="25" t="s">
        <v>84</v>
      </c>
      <c r="D96" s="25">
        <v>1.0</v>
      </c>
      <c r="E96" s="25">
        <v>0.0</v>
      </c>
      <c r="Y96" s="25"/>
      <c r="AS96" s="25"/>
      <c r="AT96" s="26">
        <v>48.0</v>
      </c>
      <c r="AU96" s="27">
        <v>48.0</v>
      </c>
    </row>
    <row r="97">
      <c r="B97" s="24">
        <v>57.0</v>
      </c>
      <c r="C97" s="25" t="s">
        <v>85</v>
      </c>
      <c r="D97" s="25">
        <v>1.0</v>
      </c>
      <c r="E97" s="25">
        <v>0.0</v>
      </c>
      <c r="Y97" s="25"/>
      <c r="AS97" s="25"/>
      <c r="AT97" s="26">
        <v>48.0</v>
      </c>
      <c r="AU97" s="27">
        <v>48.0</v>
      </c>
    </row>
    <row r="98">
      <c r="B98" s="24">
        <v>58.0</v>
      </c>
      <c r="C98" s="25" t="s">
        <v>86</v>
      </c>
      <c r="D98" s="25">
        <v>1.0</v>
      </c>
      <c r="E98" s="25">
        <v>0.0</v>
      </c>
      <c r="Y98" s="25"/>
      <c r="AS98" s="25"/>
      <c r="AT98" s="26">
        <v>48.0</v>
      </c>
      <c r="AU98" s="27">
        <v>48.0</v>
      </c>
    </row>
    <row r="99">
      <c r="B99" s="24">
        <v>59.0</v>
      </c>
      <c r="C99" s="25" t="s">
        <v>87</v>
      </c>
      <c r="D99" s="25">
        <v>1.0</v>
      </c>
      <c r="E99" s="25">
        <v>0.0</v>
      </c>
      <c r="Y99" s="25"/>
      <c r="AS99" s="25"/>
      <c r="AT99" s="26">
        <v>48.0</v>
      </c>
      <c r="AU99" s="27">
        <v>48.0</v>
      </c>
    </row>
    <row r="100">
      <c r="B100" s="24">
        <v>60.0</v>
      </c>
      <c r="C100" s="25" t="s">
        <v>88</v>
      </c>
      <c r="D100" s="25">
        <v>0.0</v>
      </c>
      <c r="E100" s="25">
        <v>0.0</v>
      </c>
      <c r="Y100" s="25"/>
      <c r="AS100" s="25"/>
      <c r="AT100" s="26">
        <v>48.0</v>
      </c>
      <c r="AU100" s="27">
        <v>48.0</v>
      </c>
    </row>
    <row r="101">
      <c r="B101" s="24">
        <v>61.0</v>
      </c>
      <c r="C101" s="25" t="s">
        <v>89</v>
      </c>
      <c r="D101" s="25">
        <v>1.0</v>
      </c>
      <c r="E101" s="25">
        <v>0.0</v>
      </c>
      <c r="Y101" s="25"/>
      <c r="AS101" s="25"/>
      <c r="AT101" s="26">
        <v>48.0</v>
      </c>
      <c r="AU101" s="27">
        <v>48.0</v>
      </c>
    </row>
    <row r="102">
      <c r="B102" s="24">
        <v>62.0</v>
      </c>
      <c r="C102" s="25" t="s">
        <v>90</v>
      </c>
      <c r="D102" s="25">
        <v>1.0</v>
      </c>
      <c r="E102" s="25">
        <v>1.0</v>
      </c>
      <c r="Y102" s="25"/>
      <c r="AS102" s="25"/>
      <c r="AT102" s="26">
        <v>48.0</v>
      </c>
      <c r="AU102" s="27">
        <v>48.0</v>
      </c>
    </row>
    <row r="103">
      <c r="B103" s="24">
        <v>63.0</v>
      </c>
      <c r="C103" s="25" t="s">
        <v>91</v>
      </c>
      <c r="D103" s="25">
        <v>1.0</v>
      </c>
      <c r="E103" s="25">
        <v>1.0</v>
      </c>
      <c r="Y103" s="25"/>
      <c r="AS103" s="25"/>
      <c r="AT103" s="26">
        <v>48.0</v>
      </c>
      <c r="AU103" s="27">
        <v>48.0</v>
      </c>
    </row>
    <row r="104">
      <c r="B104" s="24">
        <v>64.0</v>
      </c>
      <c r="C104" s="25" t="s">
        <v>92</v>
      </c>
      <c r="D104" s="25">
        <v>1.0</v>
      </c>
      <c r="E104" s="25">
        <v>1.0</v>
      </c>
      <c r="Y104" s="25"/>
      <c r="AS104" s="25"/>
      <c r="AT104" s="26">
        <v>48.0</v>
      </c>
      <c r="AU104" s="27">
        <v>48.0</v>
      </c>
    </row>
    <row r="105">
      <c r="B105" s="24">
        <v>65.0</v>
      </c>
      <c r="C105" s="25" t="s">
        <v>93</v>
      </c>
      <c r="D105" s="25">
        <v>1.0</v>
      </c>
      <c r="E105" s="25">
        <v>1.0</v>
      </c>
      <c r="Y105" s="25"/>
      <c r="AS105" s="25"/>
      <c r="AT105" s="26">
        <v>48.0</v>
      </c>
      <c r="AU105" s="27">
        <v>48.0</v>
      </c>
    </row>
    <row r="106">
      <c r="B106" s="24">
        <v>66.0</v>
      </c>
      <c r="C106" s="25" t="s">
        <v>94</v>
      </c>
      <c r="D106" s="25">
        <v>1.0</v>
      </c>
      <c r="E106" s="25">
        <v>1.0</v>
      </c>
      <c r="Y106" s="25"/>
      <c r="AS106" s="25"/>
      <c r="AT106" s="26">
        <v>48.0</v>
      </c>
      <c r="AU106" s="27">
        <v>48.0</v>
      </c>
    </row>
    <row r="107">
      <c r="B107" s="24">
        <v>67.0</v>
      </c>
      <c r="C107" s="25" t="s">
        <v>95</v>
      </c>
      <c r="D107" s="25">
        <v>1.0</v>
      </c>
      <c r="E107" s="25">
        <v>1.0</v>
      </c>
      <c r="Y107" s="25"/>
      <c r="AS107" s="25"/>
      <c r="AT107" s="26">
        <v>48.0</v>
      </c>
      <c r="AU107" s="27">
        <v>48.0</v>
      </c>
    </row>
    <row r="108">
      <c r="B108" s="24">
        <v>68.0</v>
      </c>
      <c r="C108" s="25" t="s">
        <v>96</v>
      </c>
      <c r="D108" s="25">
        <v>1.0</v>
      </c>
      <c r="E108" s="25">
        <v>0.0</v>
      </c>
      <c r="Y108" s="25"/>
      <c r="AS108" s="25"/>
      <c r="AT108" s="26">
        <v>48.0</v>
      </c>
      <c r="AU108" s="27">
        <v>48.0</v>
      </c>
    </row>
    <row r="109">
      <c r="B109" s="24">
        <v>69.0</v>
      </c>
      <c r="C109" s="25" t="s">
        <v>97</v>
      </c>
      <c r="D109" s="25">
        <v>0.0</v>
      </c>
      <c r="E109" s="25">
        <v>0.0</v>
      </c>
      <c r="Y109" s="25"/>
      <c r="AS109" s="25"/>
      <c r="AT109" s="26">
        <v>48.0</v>
      </c>
      <c r="AU109" s="27">
        <v>48.0</v>
      </c>
    </row>
    <row r="110">
      <c r="B110" s="24">
        <v>70.0</v>
      </c>
      <c r="C110" s="25" t="s">
        <v>98</v>
      </c>
      <c r="D110" s="25">
        <v>0.0</v>
      </c>
      <c r="E110" s="25">
        <v>0.0</v>
      </c>
      <c r="Y110" s="25"/>
      <c r="AS110" s="25"/>
      <c r="AT110" s="26">
        <v>48.0</v>
      </c>
      <c r="AU110" s="27">
        <v>48.0</v>
      </c>
    </row>
    <row r="111">
      <c r="B111" s="24">
        <v>71.0</v>
      </c>
      <c r="C111" s="25" t="s">
        <v>99</v>
      </c>
      <c r="D111" s="25">
        <v>1.0</v>
      </c>
      <c r="E111" s="25">
        <v>1.0</v>
      </c>
      <c r="Y111" s="25"/>
      <c r="AS111" s="25"/>
      <c r="AT111" s="26">
        <v>48.0</v>
      </c>
      <c r="AU111" s="27">
        <v>48.0</v>
      </c>
    </row>
    <row r="112">
      <c r="B112" s="24">
        <v>72.0</v>
      </c>
      <c r="C112" s="25" t="s">
        <v>100</v>
      </c>
      <c r="D112" s="25">
        <v>1.0</v>
      </c>
      <c r="E112" s="25">
        <v>0.0</v>
      </c>
      <c r="Y112" s="25"/>
      <c r="AS112" s="25"/>
      <c r="AT112" s="26">
        <v>48.0</v>
      </c>
      <c r="AU112" s="27">
        <v>48.0</v>
      </c>
    </row>
    <row r="113">
      <c r="B113" s="24">
        <v>73.0</v>
      </c>
      <c r="C113" s="25" t="s">
        <v>101</v>
      </c>
      <c r="D113" s="25">
        <v>1.0</v>
      </c>
      <c r="E113" s="25">
        <v>1.0</v>
      </c>
      <c r="Y113" s="25"/>
      <c r="AS113" s="25"/>
      <c r="AT113" s="26">
        <v>48.0</v>
      </c>
      <c r="AU113" s="27">
        <v>48.0</v>
      </c>
    </row>
    <row r="114">
      <c r="B114" s="24">
        <v>74.0</v>
      </c>
      <c r="C114" s="25" t="s">
        <v>102</v>
      </c>
      <c r="D114" s="25">
        <v>1.0</v>
      </c>
      <c r="E114" s="25">
        <v>1.0</v>
      </c>
      <c r="Y114" s="25"/>
      <c r="AS114" s="25"/>
      <c r="AT114" s="26">
        <v>48.0</v>
      </c>
      <c r="AU114" s="27">
        <v>48.0</v>
      </c>
    </row>
    <row r="115">
      <c r="B115" s="24">
        <v>75.0</v>
      </c>
      <c r="C115" s="25" t="s">
        <v>103</v>
      </c>
      <c r="D115" s="25">
        <v>0.0</v>
      </c>
      <c r="E115" s="25">
        <v>0.0</v>
      </c>
      <c r="Y115" s="25"/>
      <c r="AS115" s="25"/>
      <c r="AT115" s="26">
        <v>48.0</v>
      </c>
      <c r="AU115" s="27">
        <v>48.0</v>
      </c>
    </row>
    <row r="116">
      <c r="B116" s="24">
        <v>76.0</v>
      </c>
      <c r="C116" s="25" t="s">
        <v>104</v>
      </c>
      <c r="D116" s="25">
        <v>0.0</v>
      </c>
      <c r="E116" s="25">
        <v>0.0</v>
      </c>
      <c r="Y116" s="25"/>
      <c r="AS116" s="25"/>
      <c r="AT116" s="26">
        <v>48.0</v>
      </c>
      <c r="AU116" s="27">
        <v>48.0</v>
      </c>
    </row>
    <row r="117">
      <c r="B117" s="24">
        <v>77.0</v>
      </c>
      <c r="C117" s="25" t="s">
        <v>105</v>
      </c>
      <c r="D117" s="25">
        <v>1.0</v>
      </c>
      <c r="E117" s="25">
        <v>0.0</v>
      </c>
      <c r="Y117" s="25"/>
      <c r="AS117" s="25"/>
      <c r="AT117" s="26">
        <v>48.0</v>
      </c>
      <c r="AU117" s="27">
        <v>48.0</v>
      </c>
    </row>
    <row r="118">
      <c r="B118" s="24">
        <v>78.0</v>
      </c>
      <c r="C118" s="25" t="s">
        <v>106</v>
      </c>
      <c r="D118" s="25">
        <v>1.0</v>
      </c>
      <c r="E118" s="25">
        <v>1.0</v>
      </c>
      <c r="Y118" s="25"/>
      <c r="AS118" s="25"/>
      <c r="AT118" s="26">
        <v>48.0</v>
      </c>
      <c r="AU118" s="27">
        <v>48.0</v>
      </c>
    </row>
    <row r="119">
      <c r="B119" s="24">
        <v>79.0</v>
      </c>
      <c r="C119" s="25" t="s">
        <v>107</v>
      </c>
      <c r="D119" s="25">
        <v>1.0</v>
      </c>
      <c r="E119" s="25">
        <v>1.0</v>
      </c>
      <c r="Y119" s="25"/>
      <c r="AS119" s="25"/>
      <c r="AT119" s="26">
        <v>48.0</v>
      </c>
      <c r="AU119" s="27">
        <v>48.0</v>
      </c>
    </row>
    <row r="120">
      <c r="B120" s="24">
        <v>80.0</v>
      </c>
      <c r="C120" s="25" t="s">
        <v>108</v>
      </c>
      <c r="D120" s="25">
        <v>0.0</v>
      </c>
      <c r="E120" s="25">
        <v>0.0</v>
      </c>
      <c r="Y120" s="25"/>
      <c r="AS120" s="25"/>
      <c r="AT120" s="26">
        <v>48.0</v>
      </c>
      <c r="AU120" s="27">
        <v>48.0</v>
      </c>
    </row>
    <row r="121">
      <c r="B121" s="24">
        <v>81.0</v>
      </c>
      <c r="C121" s="34" t="s">
        <v>109</v>
      </c>
      <c r="D121" s="25">
        <v>1.0</v>
      </c>
      <c r="E121" s="25">
        <v>0.0</v>
      </c>
      <c r="Y121" s="2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6"/>
      <c r="AT121" s="26">
        <v>48.0</v>
      </c>
      <c r="AU121" s="27">
        <v>48.0</v>
      </c>
    </row>
    <row r="122">
      <c r="B122" s="24">
        <v>82.0</v>
      </c>
      <c r="C122" s="37" t="s">
        <v>110</v>
      </c>
      <c r="D122" s="25">
        <v>1.0</v>
      </c>
      <c r="E122" s="25">
        <v>0.0</v>
      </c>
      <c r="Y122" s="2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6"/>
      <c r="AT122" s="26">
        <v>48.0</v>
      </c>
      <c r="AU122" s="27">
        <v>48.0</v>
      </c>
    </row>
    <row r="123">
      <c r="B123" s="24">
        <v>83.0</v>
      </c>
      <c r="C123" s="37" t="s">
        <v>46</v>
      </c>
      <c r="D123" s="25">
        <v>0.0</v>
      </c>
      <c r="E123" s="25">
        <v>0.0</v>
      </c>
      <c r="Y123" s="25"/>
      <c r="AS123" s="25"/>
      <c r="AT123" s="26">
        <v>48.0</v>
      </c>
      <c r="AU123" s="27">
        <v>48.0</v>
      </c>
    </row>
    <row r="124">
      <c r="B124" s="24">
        <v>84.0</v>
      </c>
      <c r="C124" s="37" t="s">
        <v>111</v>
      </c>
      <c r="D124" s="25">
        <v>1.0</v>
      </c>
      <c r="E124" s="25">
        <v>0.0</v>
      </c>
      <c r="Y124" s="25"/>
      <c r="AS124" s="25"/>
      <c r="AT124" s="26">
        <v>48.0</v>
      </c>
      <c r="AU124" s="27">
        <v>48.0</v>
      </c>
    </row>
    <row r="125">
      <c r="B125" s="24">
        <v>85.0</v>
      </c>
      <c r="C125" s="34" t="s">
        <v>74</v>
      </c>
      <c r="D125" s="25">
        <v>0.0</v>
      </c>
      <c r="E125" s="25">
        <v>0.0</v>
      </c>
      <c r="Y125" s="25"/>
      <c r="AS125" s="25"/>
      <c r="AT125" s="26">
        <v>48.0</v>
      </c>
      <c r="AU125" s="27">
        <v>48.0</v>
      </c>
    </row>
    <row r="126">
      <c r="B126" s="24">
        <v>86.0</v>
      </c>
      <c r="C126" s="34" t="s">
        <v>112</v>
      </c>
      <c r="D126" s="25">
        <v>0.0</v>
      </c>
      <c r="E126" s="25">
        <v>0.0</v>
      </c>
      <c r="Y126" s="25"/>
      <c r="AS126" s="25"/>
      <c r="AT126" s="26">
        <v>48.0</v>
      </c>
      <c r="AU126" s="27">
        <v>48.0</v>
      </c>
    </row>
    <row r="127">
      <c r="B127" s="24">
        <v>87.0</v>
      </c>
      <c r="C127" s="34" t="s">
        <v>113</v>
      </c>
      <c r="D127" s="25">
        <v>0.0</v>
      </c>
      <c r="E127" s="25">
        <v>0.0</v>
      </c>
      <c r="Y127" s="25"/>
      <c r="AS127" s="25"/>
      <c r="AT127" s="26">
        <v>48.0</v>
      </c>
      <c r="AU127" s="27">
        <v>48.0</v>
      </c>
    </row>
    <row r="128">
      <c r="B128" s="24">
        <v>88.0</v>
      </c>
      <c r="C128" s="34" t="s">
        <v>114</v>
      </c>
      <c r="D128" s="25">
        <v>1.0</v>
      </c>
      <c r="E128" s="25">
        <v>0.0</v>
      </c>
      <c r="Y128" s="25"/>
      <c r="AS128" s="25"/>
      <c r="AT128" s="26">
        <v>48.0</v>
      </c>
      <c r="AU128" s="27">
        <v>48.0</v>
      </c>
    </row>
    <row r="129">
      <c r="B129" s="24">
        <v>89.0</v>
      </c>
      <c r="C129" s="34" t="s">
        <v>115</v>
      </c>
      <c r="D129" s="25">
        <v>0.0</v>
      </c>
      <c r="E129" s="25">
        <v>0.0</v>
      </c>
      <c r="Y129" s="25"/>
      <c r="AS129" s="25"/>
      <c r="AT129" s="26">
        <v>48.0</v>
      </c>
      <c r="AU129" s="27">
        <v>48.0</v>
      </c>
    </row>
    <row r="130">
      <c r="B130" s="24">
        <v>90.0</v>
      </c>
      <c r="C130" s="34" t="s">
        <v>116</v>
      </c>
      <c r="D130" s="25">
        <v>0.0</v>
      </c>
      <c r="E130" s="25">
        <v>0.0</v>
      </c>
      <c r="Y130" s="25"/>
      <c r="AS130" s="25"/>
      <c r="AT130" s="26">
        <v>48.0</v>
      </c>
      <c r="AU130" s="27">
        <v>48.0</v>
      </c>
    </row>
    <row r="131">
      <c r="B131" s="24">
        <v>91.0</v>
      </c>
      <c r="C131" s="37" t="s">
        <v>117</v>
      </c>
      <c r="D131" s="25">
        <v>1.0</v>
      </c>
      <c r="E131" s="25">
        <v>0.0</v>
      </c>
      <c r="Y131" s="25"/>
      <c r="AS131" s="25"/>
      <c r="AT131" s="26">
        <v>48.0</v>
      </c>
      <c r="AU131" s="27">
        <v>48.0</v>
      </c>
    </row>
    <row r="132">
      <c r="B132" s="24">
        <v>92.0</v>
      </c>
      <c r="C132" s="37" t="s">
        <v>118</v>
      </c>
      <c r="D132" s="25">
        <v>1.0</v>
      </c>
      <c r="E132" s="25">
        <v>0.0</v>
      </c>
      <c r="Y132" s="25"/>
      <c r="AS132" s="25"/>
      <c r="AT132" s="26">
        <v>48.0</v>
      </c>
      <c r="AU132" s="27">
        <v>48.0</v>
      </c>
    </row>
    <row r="133">
      <c r="B133" s="24">
        <v>93.0</v>
      </c>
      <c r="C133" s="37" t="s">
        <v>119</v>
      </c>
      <c r="D133" s="25">
        <v>1.0</v>
      </c>
      <c r="E133" s="25">
        <v>0.0</v>
      </c>
      <c r="Y133" s="25"/>
      <c r="AS133" s="25"/>
      <c r="AT133" s="26">
        <v>48.0</v>
      </c>
      <c r="AU133" s="27">
        <v>48.0</v>
      </c>
    </row>
    <row r="134">
      <c r="B134" s="24">
        <v>94.0</v>
      </c>
      <c r="C134" s="37" t="s">
        <v>120</v>
      </c>
      <c r="D134" s="25">
        <v>1.0</v>
      </c>
      <c r="E134" s="25">
        <v>1.0</v>
      </c>
      <c r="Y134" s="25"/>
      <c r="AS134" s="25"/>
      <c r="AT134" s="26">
        <v>48.0</v>
      </c>
      <c r="AU134" s="27">
        <v>48.0</v>
      </c>
    </row>
    <row r="135">
      <c r="B135" s="24">
        <v>95.0</v>
      </c>
      <c r="C135" s="34" t="s">
        <v>121</v>
      </c>
      <c r="D135" s="25">
        <v>1.0</v>
      </c>
      <c r="E135" s="25">
        <v>1.0</v>
      </c>
      <c r="Y135" s="25"/>
      <c r="AS135" s="25"/>
      <c r="AT135" s="26">
        <v>48.0</v>
      </c>
      <c r="AU135" s="27">
        <v>48.0</v>
      </c>
    </row>
    <row r="136">
      <c r="B136" s="24">
        <v>96.0</v>
      </c>
      <c r="C136" s="37" t="s">
        <v>122</v>
      </c>
      <c r="D136" s="25">
        <v>0.0</v>
      </c>
      <c r="E136" s="25">
        <v>0.0</v>
      </c>
      <c r="Y136" s="25"/>
      <c r="AS136" s="25"/>
      <c r="AT136" s="26">
        <v>48.0</v>
      </c>
      <c r="AU136" s="27">
        <v>48.0</v>
      </c>
    </row>
    <row r="137">
      <c r="B137" s="24">
        <v>97.0</v>
      </c>
      <c r="C137" s="37" t="s">
        <v>123</v>
      </c>
      <c r="D137" s="25">
        <v>0.0</v>
      </c>
      <c r="E137" s="25">
        <v>0.0</v>
      </c>
      <c r="Y137" s="25"/>
      <c r="AS137" s="25"/>
      <c r="AT137" s="26">
        <v>48.0</v>
      </c>
      <c r="AU137" s="27">
        <v>48.0</v>
      </c>
    </row>
    <row r="138">
      <c r="B138" s="24">
        <v>98.0</v>
      </c>
      <c r="C138" s="37" t="s">
        <v>124</v>
      </c>
      <c r="D138" s="25">
        <v>1.0</v>
      </c>
      <c r="E138" s="25">
        <v>1.0</v>
      </c>
      <c r="Y138" s="25"/>
      <c r="AS138" s="25"/>
      <c r="AT138" s="26">
        <v>48.0</v>
      </c>
      <c r="AU138" s="27">
        <v>48.0</v>
      </c>
    </row>
    <row r="139">
      <c r="B139" s="24">
        <v>99.0</v>
      </c>
      <c r="C139" s="37" t="s">
        <v>125</v>
      </c>
      <c r="D139" s="25">
        <v>0.0</v>
      </c>
      <c r="E139" s="25">
        <v>0.0</v>
      </c>
      <c r="Y139" s="25"/>
      <c r="AS139" s="25"/>
      <c r="AT139" s="26">
        <v>48.0</v>
      </c>
      <c r="AU139" s="27">
        <v>48.0</v>
      </c>
    </row>
    <row r="140">
      <c r="B140" s="24">
        <v>100.0</v>
      </c>
      <c r="C140" s="37" t="s">
        <v>126</v>
      </c>
      <c r="D140" s="25">
        <v>0.0</v>
      </c>
      <c r="E140" s="25">
        <v>0.0</v>
      </c>
      <c r="Y140" s="25"/>
      <c r="AS140" s="25"/>
      <c r="AU140" s="27"/>
    </row>
    <row r="141">
      <c r="B141" s="24">
        <v>101.0</v>
      </c>
      <c r="C141" s="25" t="s">
        <v>127</v>
      </c>
      <c r="D141" s="25"/>
      <c r="E141" s="25"/>
      <c r="Y141" s="25"/>
      <c r="AS141" s="25"/>
      <c r="AU141" s="27"/>
    </row>
    <row r="142">
      <c r="B142" s="24">
        <v>102.0</v>
      </c>
      <c r="C142" s="25" t="s">
        <v>127</v>
      </c>
      <c r="D142" s="25"/>
      <c r="E142" s="25"/>
      <c r="Y142" s="25"/>
      <c r="AS142" s="25"/>
      <c r="AU142" s="27"/>
    </row>
    <row r="143">
      <c r="B143" s="24">
        <v>103.0</v>
      </c>
      <c r="C143" s="25" t="s">
        <v>127</v>
      </c>
      <c r="D143" s="25"/>
      <c r="E143" s="25"/>
      <c r="Y143" s="25"/>
      <c r="AS143" s="25"/>
      <c r="AU143" s="27"/>
    </row>
    <row r="144">
      <c r="B144" s="24">
        <v>104.0</v>
      </c>
      <c r="C144" s="25" t="s">
        <v>127</v>
      </c>
      <c r="D144" s="25"/>
      <c r="E144" s="25"/>
      <c r="Y144" s="25"/>
      <c r="AS144" s="25"/>
      <c r="AU144" s="27"/>
    </row>
    <row r="145">
      <c r="B145" s="24">
        <v>105.0</v>
      </c>
      <c r="C145" s="25" t="s">
        <v>127</v>
      </c>
      <c r="D145" s="25"/>
      <c r="E145" s="25"/>
      <c r="Y145" s="25"/>
      <c r="AS145" s="25"/>
      <c r="AU145" s="27"/>
    </row>
    <row r="146">
      <c r="B146" s="24"/>
      <c r="C146" s="25" t="s">
        <v>127</v>
      </c>
      <c r="D146" s="25"/>
      <c r="E146" s="25"/>
      <c r="Y146" s="25"/>
      <c r="AS146" s="25"/>
      <c r="AU146" s="27"/>
    </row>
    <row r="147">
      <c r="B147" s="24"/>
      <c r="C147" s="25" t="s">
        <v>127</v>
      </c>
      <c r="D147" s="25"/>
      <c r="E147" s="25"/>
      <c r="Y147" s="25"/>
      <c r="AS147" s="25"/>
      <c r="AU147" s="27"/>
    </row>
    <row r="148">
      <c r="B148" s="24"/>
      <c r="C148" s="25" t="s">
        <v>127</v>
      </c>
      <c r="D148" s="25"/>
      <c r="E148" s="25"/>
      <c r="Y148" s="25"/>
      <c r="AS148" s="25"/>
      <c r="AU148" s="27"/>
    </row>
    <row r="149">
      <c r="B149" s="24"/>
      <c r="C149" s="25" t="s">
        <v>127</v>
      </c>
      <c r="D149" s="25"/>
      <c r="E149" s="25"/>
      <c r="Y149" s="25"/>
      <c r="AS149" s="25"/>
      <c r="AU149" s="27"/>
    </row>
    <row r="150">
      <c r="B150" s="24"/>
      <c r="C150" s="25" t="s">
        <v>127</v>
      </c>
      <c r="D150" s="25"/>
      <c r="E150" s="25"/>
      <c r="Y150" s="25"/>
      <c r="AS150" s="25"/>
      <c r="AU150" s="27"/>
    </row>
    <row r="151">
      <c r="B151" s="24"/>
      <c r="C151" s="25" t="s">
        <v>127</v>
      </c>
      <c r="D151" s="25"/>
      <c r="E151" s="25"/>
      <c r="Y151" s="25"/>
      <c r="AS151" s="25"/>
      <c r="AU151" s="27"/>
    </row>
    <row r="152">
      <c r="B152" s="24"/>
      <c r="C152" s="25" t="s">
        <v>127</v>
      </c>
      <c r="D152" s="25"/>
      <c r="E152" s="25"/>
      <c r="Y152" s="25"/>
      <c r="AS152" s="25"/>
      <c r="AU152" s="27"/>
    </row>
    <row r="153">
      <c r="B153" s="24"/>
      <c r="C153" s="25" t="s">
        <v>127</v>
      </c>
      <c r="D153" s="25"/>
      <c r="E153" s="25"/>
      <c r="Y153" s="25"/>
      <c r="AS153" s="25"/>
      <c r="AU153" s="27"/>
    </row>
    <row r="154">
      <c r="B154" s="24">
        <v>114.0</v>
      </c>
      <c r="C154" s="25" t="s">
        <v>127</v>
      </c>
      <c r="D154" s="25"/>
      <c r="E154" s="25"/>
      <c r="Y154" s="25"/>
      <c r="AS154" s="25"/>
      <c r="AU154" s="27"/>
    </row>
    <row r="155">
      <c r="B155" s="24">
        <v>115.0</v>
      </c>
      <c r="C155" s="25" t="s">
        <v>127</v>
      </c>
      <c r="D155" s="25"/>
      <c r="E155" s="25"/>
      <c r="Y155" s="25"/>
      <c r="AS155" s="25"/>
      <c r="AU155" s="27"/>
    </row>
    <row r="156">
      <c r="B156" s="24">
        <v>116.0</v>
      </c>
      <c r="C156" s="25" t="s">
        <v>127</v>
      </c>
      <c r="D156" s="25"/>
      <c r="E156" s="25"/>
      <c r="Y156" s="25"/>
      <c r="AS156" s="25"/>
      <c r="AU156" s="27"/>
    </row>
    <row r="157">
      <c r="B157" s="24">
        <v>117.0</v>
      </c>
      <c r="C157" s="25" t="s">
        <v>127</v>
      </c>
      <c r="D157" s="25"/>
      <c r="E157" s="25"/>
      <c r="Y157" s="25"/>
      <c r="AS157" s="25"/>
      <c r="AU157" s="27"/>
    </row>
    <row r="158">
      <c r="B158" s="24">
        <v>118.0</v>
      </c>
      <c r="C158" s="25" t="s">
        <v>127</v>
      </c>
      <c r="D158" s="25"/>
      <c r="E158" s="25"/>
      <c r="Y158" s="25"/>
      <c r="AS158" s="25"/>
      <c r="AU158" s="27"/>
    </row>
    <row r="159">
      <c r="B159" s="24">
        <v>119.0</v>
      </c>
      <c r="C159" s="25" t="s">
        <v>127</v>
      </c>
      <c r="D159" s="25"/>
      <c r="E159" s="25"/>
      <c r="Y159" s="25"/>
      <c r="AS159" s="25"/>
      <c r="AU159" s="27"/>
    </row>
    <row r="160">
      <c r="B160" s="24">
        <v>120.0</v>
      </c>
      <c r="C160" s="25" t="s">
        <v>127</v>
      </c>
      <c r="D160" s="25"/>
      <c r="E160" s="25"/>
      <c r="Y160" s="25"/>
      <c r="AS160" s="25"/>
      <c r="AU160" s="27"/>
    </row>
    <row r="161">
      <c r="B161" s="24">
        <v>121.0</v>
      </c>
      <c r="C161" s="25" t="s">
        <v>127</v>
      </c>
      <c r="D161" s="25"/>
      <c r="E161" s="25"/>
      <c r="Y161" s="25"/>
      <c r="AS161" s="25"/>
      <c r="AU161" s="27"/>
    </row>
    <row r="162">
      <c r="B162" s="24">
        <v>122.0</v>
      </c>
      <c r="C162" s="25" t="s">
        <v>127</v>
      </c>
      <c r="D162" s="25"/>
      <c r="E162" s="25"/>
      <c r="Y162" s="25"/>
      <c r="AS162" s="25"/>
      <c r="AU162" s="27"/>
    </row>
    <row r="163">
      <c r="B163" s="24">
        <v>123.0</v>
      </c>
      <c r="C163" s="25" t="s">
        <v>127</v>
      </c>
      <c r="D163" s="25"/>
      <c r="E163" s="25"/>
      <c r="Y163" s="25"/>
      <c r="AS163" s="25"/>
      <c r="AU163" s="27"/>
    </row>
    <row r="164">
      <c r="B164" s="24">
        <v>124.0</v>
      </c>
      <c r="C164" s="25" t="s">
        <v>127</v>
      </c>
      <c r="D164" s="25"/>
      <c r="E164" s="25"/>
      <c r="Y164" s="25"/>
      <c r="AS164" s="25"/>
      <c r="AU164" s="27"/>
    </row>
    <row r="165">
      <c r="B165" s="24">
        <v>125.0</v>
      </c>
      <c r="C165" s="25" t="s">
        <v>127</v>
      </c>
      <c r="D165" s="25"/>
      <c r="E165" s="25"/>
      <c r="Y165" s="25"/>
      <c r="AS165" s="25"/>
      <c r="AU165" s="27"/>
    </row>
    <row r="166">
      <c r="B166" s="24">
        <v>126.0</v>
      </c>
      <c r="C166" s="25" t="s">
        <v>127</v>
      </c>
      <c r="D166" s="25"/>
      <c r="E166" s="25"/>
      <c r="Y166" s="25"/>
      <c r="AS166" s="25"/>
      <c r="AU166" s="27"/>
    </row>
    <row r="167">
      <c r="B167" s="24">
        <v>127.0</v>
      </c>
      <c r="C167" s="25" t="s">
        <v>127</v>
      </c>
      <c r="D167" s="25"/>
      <c r="E167" s="25"/>
      <c r="Y167" s="25"/>
      <c r="AS167" s="25"/>
      <c r="AU167" s="27"/>
    </row>
    <row r="168">
      <c r="B168" s="24">
        <v>128.0</v>
      </c>
      <c r="C168" s="25" t="s">
        <v>127</v>
      </c>
      <c r="D168" s="25"/>
      <c r="E168" s="25"/>
      <c r="Y168" s="25"/>
      <c r="AS168" s="25"/>
      <c r="AU168" s="27"/>
    </row>
    <row r="169">
      <c r="B169" s="24">
        <v>129.0</v>
      </c>
      <c r="C169" s="25" t="s">
        <v>127</v>
      </c>
      <c r="D169" s="25"/>
      <c r="E169" s="25"/>
      <c r="Y169" s="25"/>
      <c r="AS169" s="25"/>
      <c r="AU169" s="27"/>
    </row>
    <row r="170">
      <c r="B170" s="24">
        <v>130.0</v>
      </c>
      <c r="C170" s="25" t="s">
        <v>127</v>
      </c>
      <c r="D170" s="25"/>
      <c r="E170" s="25"/>
      <c r="Y170" s="25"/>
      <c r="AS170" s="25"/>
      <c r="AU170" s="27"/>
    </row>
    <row r="171">
      <c r="B171" s="24">
        <v>131.0</v>
      </c>
      <c r="C171" s="25" t="s">
        <v>127</v>
      </c>
      <c r="D171" s="25"/>
      <c r="E171" s="25"/>
      <c r="Y171" s="25"/>
      <c r="AS171" s="25"/>
      <c r="AU171" s="27"/>
    </row>
    <row r="172">
      <c r="B172" s="24">
        <v>132.0</v>
      </c>
      <c r="C172" s="25" t="s">
        <v>127</v>
      </c>
      <c r="D172" s="25"/>
      <c r="E172" s="25"/>
      <c r="Y172" s="25"/>
      <c r="AS172" s="25"/>
      <c r="AU172" s="27"/>
    </row>
    <row r="173">
      <c r="B173" s="24">
        <v>133.0</v>
      </c>
      <c r="C173" s="25" t="s">
        <v>127</v>
      </c>
      <c r="D173" s="25"/>
      <c r="E173" s="25"/>
      <c r="Y173" s="25"/>
      <c r="AS173" s="25"/>
      <c r="AU173" s="27"/>
    </row>
    <row r="174">
      <c r="B174" s="24">
        <v>134.0</v>
      </c>
      <c r="C174" s="25" t="s">
        <v>127</v>
      </c>
      <c r="D174" s="25"/>
      <c r="E174" s="25"/>
      <c r="Y174" s="25"/>
      <c r="AS174" s="25"/>
      <c r="AU174" s="27"/>
    </row>
    <row r="175">
      <c r="B175" s="24">
        <v>130.0</v>
      </c>
      <c r="C175" s="25" t="s">
        <v>127</v>
      </c>
      <c r="D175" s="25"/>
      <c r="E175" s="25"/>
      <c r="Y175" s="25"/>
      <c r="AS175" s="25"/>
      <c r="AU175" s="27"/>
    </row>
    <row r="176">
      <c r="B176" s="24">
        <v>131.0</v>
      </c>
      <c r="C176" s="25" t="s">
        <v>127</v>
      </c>
      <c r="D176" s="25"/>
      <c r="E176" s="25"/>
      <c r="Y176" s="25"/>
      <c r="AS176" s="25"/>
      <c r="AU176" s="27"/>
    </row>
    <row r="177">
      <c r="B177" s="24">
        <v>132.0</v>
      </c>
      <c r="C177" s="25" t="s">
        <v>127</v>
      </c>
      <c r="D177" s="25"/>
      <c r="E177" s="25"/>
      <c r="Y177" s="25"/>
      <c r="AS177" s="25"/>
      <c r="AU177" s="27"/>
    </row>
    <row r="178">
      <c r="B178" s="24">
        <v>133.0</v>
      </c>
      <c r="C178" s="25" t="s">
        <v>127</v>
      </c>
      <c r="D178" s="25"/>
      <c r="E178" s="25"/>
      <c r="Y178" s="25"/>
      <c r="AS178" s="25"/>
      <c r="AU178" s="27"/>
    </row>
    <row r="179">
      <c r="B179" s="24">
        <v>134.0</v>
      </c>
      <c r="C179" s="25" t="s">
        <v>127</v>
      </c>
      <c r="D179" s="25"/>
      <c r="E179" s="25"/>
      <c r="Y179" s="25"/>
      <c r="AS179" s="25"/>
      <c r="AU179" s="27"/>
    </row>
    <row r="180">
      <c r="B180" s="24">
        <v>135.0</v>
      </c>
      <c r="C180" s="25" t="s">
        <v>127</v>
      </c>
      <c r="D180" s="25"/>
      <c r="E180" s="25"/>
      <c r="Y180" s="25"/>
      <c r="AS180" s="25"/>
      <c r="AU180" s="27"/>
    </row>
    <row r="181">
      <c r="B181" s="24">
        <v>136.0</v>
      </c>
      <c r="C181" s="25" t="s">
        <v>127</v>
      </c>
      <c r="D181" s="25"/>
      <c r="E181" s="25"/>
      <c r="Y181" s="25"/>
      <c r="AS181" s="25"/>
      <c r="AU181" s="27"/>
    </row>
    <row r="182">
      <c r="B182" s="24">
        <v>137.0</v>
      </c>
      <c r="C182" s="25" t="s">
        <v>127</v>
      </c>
      <c r="D182" s="25"/>
      <c r="E182" s="25"/>
      <c r="Y182" s="25"/>
      <c r="AS182" s="25"/>
      <c r="AU182" s="27"/>
    </row>
    <row r="183">
      <c r="B183" s="24">
        <v>138.0</v>
      </c>
      <c r="C183" s="25" t="s">
        <v>127</v>
      </c>
      <c r="D183" s="25"/>
      <c r="E183" s="25"/>
      <c r="Y183" s="25"/>
      <c r="AS183" s="25"/>
      <c r="AU183" s="27"/>
    </row>
    <row r="184">
      <c r="B184" s="24">
        <v>139.0</v>
      </c>
      <c r="C184" s="25" t="s">
        <v>127</v>
      </c>
      <c r="D184" s="25"/>
      <c r="E184" s="25"/>
      <c r="Y184" s="25"/>
      <c r="AS184" s="25"/>
      <c r="AU184" s="27"/>
    </row>
    <row r="185">
      <c r="B185" s="24">
        <v>140.0</v>
      </c>
      <c r="C185" s="25" t="s">
        <v>127</v>
      </c>
      <c r="D185" s="25"/>
      <c r="E185" s="25"/>
      <c r="Y185" s="25"/>
      <c r="AS185" s="25"/>
      <c r="AU185" s="27"/>
    </row>
    <row r="186">
      <c r="B186" s="24">
        <v>141.0</v>
      </c>
      <c r="C186" s="25" t="s">
        <v>127</v>
      </c>
      <c r="D186" s="25"/>
      <c r="E186" s="25"/>
      <c r="Y186" s="25"/>
      <c r="AS186" s="25"/>
      <c r="AU186" s="27"/>
    </row>
    <row r="187">
      <c r="B187" s="24">
        <v>142.0</v>
      </c>
      <c r="C187" s="25" t="s">
        <v>127</v>
      </c>
      <c r="D187" s="25"/>
      <c r="E187" s="25"/>
      <c r="Y187" s="25"/>
      <c r="AS187" s="25"/>
      <c r="AU187" s="27"/>
    </row>
    <row r="188">
      <c r="B188" s="24">
        <v>143.0</v>
      </c>
      <c r="C188" s="25" t="s">
        <v>127</v>
      </c>
      <c r="D188" s="25"/>
      <c r="E188" s="25"/>
      <c r="Y188" s="25"/>
      <c r="AS188" s="25"/>
      <c r="AU188" s="27"/>
    </row>
    <row r="189">
      <c r="B189" s="24">
        <v>144.0</v>
      </c>
      <c r="C189" s="25" t="s">
        <v>127</v>
      </c>
      <c r="D189" s="25"/>
      <c r="E189" s="25"/>
      <c r="Y189" s="25"/>
      <c r="AS189" s="25"/>
      <c r="AU189" s="27"/>
    </row>
    <row r="190">
      <c r="B190" s="24">
        <v>145.0</v>
      </c>
      <c r="C190" s="25" t="s">
        <v>127</v>
      </c>
      <c r="D190" s="25"/>
      <c r="E190" s="25"/>
      <c r="Y190" s="25"/>
      <c r="AS190" s="25"/>
      <c r="AU190" s="27"/>
    </row>
    <row r="191">
      <c r="B191" s="24">
        <v>146.0</v>
      </c>
      <c r="C191" s="25" t="s">
        <v>127</v>
      </c>
      <c r="D191" s="25"/>
      <c r="E191" s="25"/>
      <c r="Y191" s="25"/>
      <c r="AS191" s="25"/>
      <c r="AU191" s="27"/>
    </row>
    <row r="192">
      <c r="B192" s="24">
        <v>147.0</v>
      </c>
      <c r="C192" s="25" t="s">
        <v>127</v>
      </c>
      <c r="D192" s="25"/>
      <c r="E192" s="25"/>
      <c r="Y192" s="25"/>
      <c r="AS192" s="25"/>
      <c r="AU192" s="27"/>
    </row>
    <row r="193">
      <c r="B193" s="24">
        <v>148.0</v>
      </c>
      <c r="C193" s="25" t="s">
        <v>127</v>
      </c>
      <c r="D193" s="25"/>
      <c r="E193" s="25"/>
      <c r="Y193" s="25"/>
      <c r="AS193" s="25"/>
      <c r="AU193" s="27"/>
    </row>
    <row r="194">
      <c r="B194" s="24">
        <v>149.0</v>
      </c>
      <c r="C194" s="25" t="s">
        <v>127</v>
      </c>
      <c r="D194" s="25"/>
      <c r="E194" s="25"/>
      <c r="Y194" s="25"/>
      <c r="AS194" s="25"/>
      <c r="AU194" s="27"/>
    </row>
    <row r="195">
      <c r="B195" s="24">
        <v>150.0</v>
      </c>
      <c r="C195" s="25" t="s">
        <v>127</v>
      </c>
      <c r="D195" s="25"/>
      <c r="E195" s="25"/>
      <c r="Y195" s="25"/>
      <c r="AS195" s="25"/>
      <c r="AU195" s="27"/>
    </row>
    <row r="196">
      <c r="B196" s="24">
        <v>151.0</v>
      </c>
      <c r="C196" s="25" t="s">
        <v>127</v>
      </c>
      <c r="D196" s="25"/>
      <c r="E196" s="25"/>
      <c r="Y196" s="25"/>
      <c r="AS196" s="25"/>
      <c r="AU196" s="27"/>
    </row>
    <row r="197">
      <c r="B197" s="24">
        <v>152.0</v>
      </c>
      <c r="C197" s="25" t="s">
        <v>127</v>
      </c>
      <c r="D197" s="25"/>
      <c r="E197" s="25"/>
      <c r="Y197" s="25"/>
      <c r="AS197" s="25"/>
      <c r="AU197" s="27"/>
    </row>
    <row r="198">
      <c r="B198" s="24">
        <v>153.0</v>
      </c>
      <c r="C198" s="25" t="s">
        <v>127</v>
      </c>
      <c r="D198" s="25"/>
      <c r="E198" s="25"/>
      <c r="Y198" s="25"/>
      <c r="AS198" s="25"/>
      <c r="AU198" s="27"/>
    </row>
    <row r="199">
      <c r="B199" s="24">
        <v>154.0</v>
      </c>
      <c r="C199" s="25" t="s">
        <v>127</v>
      </c>
      <c r="D199" s="25"/>
      <c r="E199" s="25"/>
      <c r="Y199" s="25"/>
      <c r="AS199" s="25"/>
      <c r="AU199" s="27"/>
    </row>
    <row r="200">
      <c r="B200" s="24">
        <v>155.0</v>
      </c>
      <c r="C200" s="25" t="s">
        <v>127</v>
      </c>
      <c r="D200" s="25"/>
      <c r="E200" s="25"/>
      <c r="Y200" s="25"/>
      <c r="AS200" s="25"/>
      <c r="AU200" s="27"/>
    </row>
    <row r="201">
      <c r="B201" s="24">
        <v>156.0</v>
      </c>
      <c r="C201" s="25" t="s">
        <v>127</v>
      </c>
      <c r="D201" s="25"/>
      <c r="E201" s="25"/>
      <c r="Y201" s="25"/>
      <c r="AS201" s="25"/>
      <c r="AU201" s="27"/>
    </row>
    <row r="202">
      <c r="B202" s="24">
        <v>157.0</v>
      </c>
      <c r="C202" s="25" t="s">
        <v>127</v>
      </c>
      <c r="D202" s="25"/>
      <c r="E202" s="25"/>
      <c r="Y202" s="25"/>
      <c r="AS202" s="25"/>
      <c r="AU202" s="27"/>
    </row>
    <row r="203">
      <c r="B203" s="24">
        <v>158.0</v>
      </c>
      <c r="C203" s="25" t="s">
        <v>127</v>
      </c>
      <c r="D203" s="25"/>
      <c r="E203" s="25"/>
      <c r="Y203" s="25"/>
      <c r="AS203" s="25"/>
      <c r="AU203" s="27"/>
    </row>
    <row r="204">
      <c r="B204" s="24">
        <v>159.0</v>
      </c>
      <c r="C204" s="25" t="s">
        <v>127</v>
      </c>
      <c r="D204" s="25"/>
      <c r="E204" s="25"/>
      <c r="Y204" s="25"/>
      <c r="AS204" s="25"/>
      <c r="AU204" s="27"/>
    </row>
    <row r="205">
      <c r="B205" s="24">
        <v>160.0</v>
      </c>
      <c r="C205" s="25" t="s">
        <v>127</v>
      </c>
      <c r="D205" s="25"/>
      <c r="E205" s="25"/>
      <c r="Y205" s="25"/>
      <c r="AS205" s="25"/>
      <c r="AU205" s="27"/>
    </row>
    <row r="206">
      <c r="B206" s="24">
        <v>161.0</v>
      </c>
      <c r="C206" s="25" t="s">
        <v>127</v>
      </c>
      <c r="D206" s="25"/>
      <c r="E206" s="25"/>
      <c r="Y206" s="25"/>
      <c r="AS206" s="25"/>
      <c r="AU206" s="27"/>
    </row>
    <row r="207">
      <c r="B207" s="24">
        <v>162.0</v>
      </c>
      <c r="C207" s="25" t="s">
        <v>127</v>
      </c>
      <c r="D207" s="25"/>
      <c r="E207" s="25"/>
      <c r="Y207" s="25"/>
      <c r="AS207" s="25"/>
      <c r="AU207" s="27"/>
    </row>
    <row r="208">
      <c r="B208" s="24">
        <v>163.0</v>
      </c>
      <c r="C208" s="25" t="s">
        <v>127</v>
      </c>
      <c r="D208" s="25"/>
      <c r="E208" s="25"/>
      <c r="Y208" s="25"/>
      <c r="AS208" s="25"/>
      <c r="AU208" s="27"/>
    </row>
    <row r="209">
      <c r="B209" s="24">
        <v>164.0</v>
      </c>
      <c r="C209" s="25" t="s">
        <v>127</v>
      </c>
      <c r="D209" s="25"/>
      <c r="E209" s="25"/>
      <c r="Y209" s="25"/>
      <c r="AS209" s="25"/>
      <c r="AU209" s="27"/>
    </row>
    <row r="210">
      <c r="B210" s="24">
        <v>165.0</v>
      </c>
      <c r="C210" s="25" t="s">
        <v>127</v>
      </c>
      <c r="D210" s="25"/>
      <c r="E210" s="25"/>
      <c r="Y210" s="25"/>
      <c r="AS210" s="25"/>
      <c r="AU210" s="27"/>
    </row>
    <row r="211">
      <c r="B211" s="24">
        <v>166.0</v>
      </c>
      <c r="C211" s="25" t="s">
        <v>127</v>
      </c>
      <c r="D211" s="25"/>
      <c r="E211" s="25"/>
      <c r="Y211" s="25"/>
      <c r="AS211" s="25"/>
      <c r="AU211" s="27"/>
    </row>
    <row r="212">
      <c r="B212" s="24">
        <v>167.0</v>
      </c>
      <c r="C212" s="25" t="s">
        <v>127</v>
      </c>
      <c r="D212" s="25"/>
      <c r="E212" s="25"/>
      <c r="Y212" s="25"/>
      <c r="AS212" s="25"/>
      <c r="AU212" s="27"/>
    </row>
    <row r="213">
      <c r="B213" s="24">
        <v>168.0</v>
      </c>
      <c r="C213" s="25" t="s">
        <v>127</v>
      </c>
      <c r="D213" s="25"/>
      <c r="E213" s="25"/>
      <c r="Y213" s="25"/>
      <c r="AS213" s="25"/>
      <c r="AU213" s="27"/>
    </row>
    <row r="214">
      <c r="B214" s="24">
        <v>169.0</v>
      </c>
      <c r="C214" s="25" t="s">
        <v>127</v>
      </c>
      <c r="D214" s="25"/>
      <c r="E214" s="25"/>
      <c r="Y214" s="25"/>
      <c r="AS214" s="25"/>
      <c r="AU214" s="27"/>
    </row>
    <row r="215">
      <c r="B215" s="24">
        <v>170.0</v>
      </c>
      <c r="C215" s="25" t="s">
        <v>127</v>
      </c>
      <c r="D215" s="25"/>
      <c r="E215" s="25"/>
      <c r="Y215" s="25"/>
      <c r="AS215" s="25"/>
      <c r="AU215" s="27"/>
    </row>
    <row r="216">
      <c r="B216" s="24">
        <v>171.0</v>
      </c>
      <c r="C216" s="25" t="s">
        <v>127</v>
      </c>
      <c r="D216" s="25"/>
      <c r="E216" s="25"/>
      <c r="Y216" s="25"/>
      <c r="AS216" s="25"/>
      <c r="AU216" s="27"/>
    </row>
    <row r="217">
      <c r="B217" s="24">
        <v>172.0</v>
      </c>
      <c r="C217" s="25" t="s">
        <v>127</v>
      </c>
      <c r="D217" s="25"/>
      <c r="E217" s="25"/>
      <c r="Y217" s="25"/>
      <c r="AS217" s="25"/>
      <c r="AU217" s="27"/>
    </row>
    <row r="218">
      <c r="B218" s="24">
        <v>173.0</v>
      </c>
      <c r="C218" s="25" t="s">
        <v>127</v>
      </c>
      <c r="D218" s="25"/>
      <c r="E218" s="25"/>
      <c r="Y218" s="25"/>
      <c r="AS218" s="25"/>
      <c r="AU218" s="27"/>
    </row>
    <row r="219">
      <c r="B219" s="24">
        <v>174.0</v>
      </c>
      <c r="C219" s="25" t="s">
        <v>127</v>
      </c>
      <c r="D219" s="25"/>
      <c r="E219" s="25"/>
      <c r="Y219" s="25"/>
      <c r="AS219" s="25"/>
      <c r="AU219" s="27"/>
    </row>
    <row r="220">
      <c r="B220" s="24">
        <v>175.0</v>
      </c>
      <c r="C220" s="25" t="s">
        <v>127</v>
      </c>
      <c r="D220" s="25"/>
      <c r="E220" s="25"/>
      <c r="Y220" s="25"/>
      <c r="AS220" s="25"/>
      <c r="AU220" s="27"/>
    </row>
    <row r="221">
      <c r="B221" s="24">
        <v>176.0</v>
      </c>
      <c r="C221" s="25" t="s">
        <v>127</v>
      </c>
      <c r="D221" s="25"/>
      <c r="E221" s="25"/>
      <c r="Y221" s="25"/>
      <c r="AS221" s="25"/>
      <c r="AU221" s="27"/>
    </row>
    <row r="222">
      <c r="B222" s="24">
        <v>177.0</v>
      </c>
      <c r="C222" s="25" t="s">
        <v>127</v>
      </c>
      <c r="D222" s="25"/>
      <c r="E222" s="25"/>
      <c r="Y222" s="25"/>
      <c r="AS222" s="25"/>
      <c r="AU222" s="27"/>
    </row>
    <row r="223">
      <c r="B223" s="24">
        <v>178.0</v>
      </c>
      <c r="C223" s="25" t="s">
        <v>127</v>
      </c>
      <c r="D223" s="25"/>
      <c r="E223" s="25"/>
      <c r="Y223" s="25"/>
      <c r="AS223" s="25"/>
      <c r="AU223" s="27"/>
    </row>
    <row r="224">
      <c r="B224" s="24">
        <v>179.0</v>
      </c>
      <c r="C224" s="25" t="s">
        <v>127</v>
      </c>
      <c r="D224" s="25"/>
      <c r="E224" s="25"/>
      <c r="Y224" s="25"/>
      <c r="AS224" s="25"/>
      <c r="AU224" s="27"/>
    </row>
    <row r="225">
      <c r="B225" s="24">
        <v>180.0</v>
      </c>
      <c r="C225" s="25" t="s">
        <v>127</v>
      </c>
      <c r="D225" s="25"/>
      <c r="E225" s="25"/>
      <c r="Y225" s="25"/>
      <c r="AS225" s="25"/>
      <c r="AU225" s="27"/>
    </row>
    <row r="226">
      <c r="B226" s="24">
        <v>181.0</v>
      </c>
      <c r="C226" s="25" t="s">
        <v>127</v>
      </c>
      <c r="D226" s="25"/>
      <c r="E226" s="25"/>
      <c r="Y226" s="25"/>
      <c r="AS226" s="25"/>
      <c r="AU226" s="27"/>
    </row>
    <row r="227">
      <c r="B227" s="24">
        <v>182.0</v>
      </c>
      <c r="C227" s="25" t="s">
        <v>127</v>
      </c>
      <c r="D227" s="25"/>
      <c r="E227" s="25"/>
      <c r="Y227" s="25"/>
      <c r="AS227" s="25"/>
      <c r="AU227" s="27"/>
    </row>
    <row r="228">
      <c r="B228" s="24">
        <v>183.0</v>
      </c>
      <c r="C228" s="25" t="s">
        <v>127</v>
      </c>
      <c r="D228" s="25"/>
      <c r="E228" s="25"/>
      <c r="Y228" s="25"/>
      <c r="AS228" s="25"/>
      <c r="AU228" s="27"/>
    </row>
    <row r="229">
      <c r="B229" s="24">
        <v>184.0</v>
      </c>
      <c r="C229" s="25" t="s">
        <v>127</v>
      </c>
      <c r="D229" s="25"/>
      <c r="E229" s="25"/>
      <c r="Y229" s="25"/>
      <c r="AS229" s="25"/>
      <c r="AU229" s="27"/>
    </row>
    <row r="230">
      <c r="B230" s="24">
        <v>185.0</v>
      </c>
      <c r="C230" s="25" t="s">
        <v>127</v>
      </c>
      <c r="D230" s="25"/>
      <c r="E230" s="25"/>
      <c r="Y230" s="25"/>
      <c r="AS230" s="25"/>
      <c r="AU230" s="27"/>
    </row>
    <row r="231">
      <c r="B231" s="24">
        <v>186.0</v>
      </c>
      <c r="C231" s="25" t="s">
        <v>127</v>
      </c>
      <c r="D231" s="25"/>
      <c r="E231" s="25"/>
      <c r="Y231" s="25"/>
      <c r="AS231" s="25"/>
      <c r="AU231" s="27"/>
    </row>
    <row r="232">
      <c r="B232" s="24">
        <v>187.0</v>
      </c>
      <c r="C232" s="25" t="s">
        <v>127</v>
      </c>
      <c r="D232" s="25"/>
      <c r="E232" s="25"/>
      <c r="Y232" s="25"/>
      <c r="AS232" s="25"/>
      <c r="AU232" s="27"/>
    </row>
    <row r="233">
      <c r="B233" s="24">
        <v>188.0</v>
      </c>
      <c r="C233" s="25" t="s">
        <v>127</v>
      </c>
      <c r="D233" s="25"/>
      <c r="E233" s="25"/>
      <c r="Y233" s="25"/>
      <c r="AS233" s="25"/>
      <c r="AU233" s="27"/>
    </row>
    <row r="234">
      <c r="B234" s="24">
        <v>189.0</v>
      </c>
      <c r="C234" s="25" t="s">
        <v>127</v>
      </c>
      <c r="D234" s="25"/>
      <c r="E234" s="25"/>
      <c r="Y234" s="25"/>
      <c r="AS234" s="25"/>
      <c r="AU234" s="27"/>
    </row>
    <row r="235">
      <c r="B235" s="24">
        <v>190.0</v>
      </c>
      <c r="C235" s="25" t="s">
        <v>127</v>
      </c>
      <c r="D235" s="25"/>
      <c r="E235" s="25"/>
      <c r="Y235" s="25"/>
      <c r="AS235" s="25"/>
      <c r="AU235" s="27"/>
    </row>
    <row r="236">
      <c r="B236" s="24">
        <v>191.0</v>
      </c>
      <c r="C236" s="25" t="s">
        <v>127</v>
      </c>
      <c r="D236" s="25"/>
      <c r="E236" s="25"/>
      <c r="Y236" s="25"/>
      <c r="AS236" s="25"/>
      <c r="AU236" s="27"/>
    </row>
    <row r="237">
      <c r="B237" s="24">
        <v>192.0</v>
      </c>
      <c r="C237" s="25" t="s">
        <v>127</v>
      </c>
      <c r="D237" s="25"/>
      <c r="E237" s="25"/>
      <c r="Y237" s="25"/>
      <c r="AS237" s="25"/>
      <c r="AU237" s="27"/>
    </row>
    <row r="238">
      <c r="B238" s="24">
        <v>193.0</v>
      </c>
      <c r="C238" s="25" t="s">
        <v>127</v>
      </c>
      <c r="D238" s="25"/>
      <c r="E238" s="25"/>
      <c r="Y238" s="25"/>
      <c r="AS238" s="25"/>
      <c r="AU238" s="27"/>
    </row>
    <row r="239">
      <c r="B239" s="24">
        <v>194.0</v>
      </c>
      <c r="C239" s="25" t="s">
        <v>127</v>
      </c>
      <c r="D239" s="25"/>
      <c r="E239" s="25"/>
      <c r="Y239" s="25"/>
      <c r="AS239" s="25"/>
      <c r="AU239" s="27"/>
    </row>
    <row r="240">
      <c r="B240" s="24">
        <v>195.0</v>
      </c>
      <c r="C240" s="25" t="s">
        <v>127</v>
      </c>
      <c r="D240" s="25"/>
      <c r="E240" s="25"/>
      <c r="Y240" s="25"/>
      <c r="AS240" s="25"/>
      <c r="AU240" s="27"/>
    </row>
    <row r="241">
      <c r="B241" s="24">
        <v>196.0</v>
      </c>
      <c r="C241" s="25" t="s">
        <v>127</v>
      </c>
      <c r="D241" s="25"/>
      <c r="E241" s="25"/>
      <c r="Y241" s="25"/>
      <c r="AS241" s="25"/>
      <c r="AU241" s="27"/>
    </row>
    <row r="242">
      <c r="B242" s="24">
        <v>197.0</v>
      </c>
      <c r="C242" s="25" t="s">
        <v>127</v>
      </c>
      <c r="D242" s="25"/>
      <c r="E242" s="25"/>
      <c r="Y242" s="25"/>
      <c r="AS242" s="25"/>
      <c r="AU242" s="27"/>
    </row>
    <row r="243">
      <c r="B243" s="24">
        <v>198.0</v>
      </c>
      <c r="C243" s="25" t="s">
        <v>127</v>
      </c>
      <c r="D243" s="25"/>
      <c r="E243" s="25"/>
      <c r="Y243" s="25"/>
      <c r="AS243" s="25"/>
      <c r="AU243" s="27"/>
    </row>
    <row r="244">
      <c r="B244" s="24">
        <v>199.0</v>
      </c>
      <c r="C244" s="25" t="s">
        <v>127</v>
      </c>
      <c r="D244" s="25"/>
      <c r="E244" s="25"/>
      <c r="Y244" s="25"/>
      <c r="AS244" s="25"/>
      <c r="AU244" s="27"/>
    </row>
    <row r="245">
      <c r="B245" s="24">
        <v>200.0</v>
      </c>
      <c r="C245" s="25" t="s">
        <v>127</v>
      </c>
      <c r="D245" s="25"/>
      <c r="E245" s="25"/>
      <c r="Y245" s="25"/>
      <c r="AS245" s="25"/>
      <c r="AU245" s="27"/>
    </row>
    <row r="246">
      <c r="B246" s="24">
        <v>201.0</v>
      </c>
      <c r="C246" s="25" t="s">
        <v>127</v>
      </c>
      <c r="D246" s="25"/>
      <c r="E246" s="25"/>
      <c r="Y246" s="25"/>
      <c r="AS246" s="25"/>
      <c r="AU246" s="27"/>
    </row>
    <row r="247">
      <c r="B247" s="24">
        <v>202.0</v>
      </c>
      <c r="C247" s="25" t="s">
        <v>127</v>
      </c>
      <c r="D247" s="25"/>
      <c r="E247" s="25"/>
      <c r="Y247" s="25"/>
      <c r="AS247" s="25"/>
      <c r="AU247" s="27"/>
    </row>
    <row r="248">
      <c r="B248" s="24">
        <v>203.0</v>
      </c>
      <c r="C248" s="25" t="s">
        <v>127</v>
      </c>
      <c r="D248" s="25"/>
      <c r="E248" s="25"/>
      <c r="Y248" s="25"/>
      <c r="AS248" s="25"/>
      <c r="AU248" s="27"/>
    </row>
    <row r="249">
      <c r="B249" s="24">
        <v>204.0</v>
      </c>
      <c r="C249" s="25" t="s">
        <v>127</v>
      </c>
      <c r="D249" s="25"/>
      <c r="E249" s="25"/>
      <c r="Y249" s="25"/>
      <c r="AS249" s="25"/>
      <c r="AU249" s="27"/>
    </row>
    <row r="250">
      <c r="B250" s="24">
        <v>205.0</v>
      </c>
      <c r="C250" s="25" t="s">
        <v>127</v>
      </c>
      <c r="D250" s="25"/>
      <c r="E250" s="25"/>
      <c r="Y250" s="25"/>
      <c r="AS250" s="25"/>
      <c r="AU250" s="27"/>
    </row>
    <row r="251">
      <c r="B251" s="24">
        <v>206.0</v>
      </c>
      <c r="C251" s="25" t="s">
        <v>127</v>
      </c>
      <c r="D251" s="25"/>
      <c r="E251" s="25"/>
      <c r="Y251" s="25"/>
      <c r="AS251" s="25"/>
      <c r="AU251" s="27"/>
    </row>
    <row r="252">
      <c r="B252" s="24">
        <v>207.0</v>
      </c>
      <c r="C252" s="25" t="s">
        <v>127</v>
      </c>
      <c r="D252" s="25"/>
      <c r="E252" s="25"/>
      <c r="Y252" s="25"/>
      <c r="AS252" s="25"/>
      <c r="AU252" s="27"/>
    </row>
    <row r="253">
      <c r="B253" s="24">
        <v>208.0</v>
      </c>
      <c r="C253" s="25" t="s">
        <v>127</v>
      </c>
      <c r="D253" s="25"/>
      <c r="E253" s="25"/>
      <c r="Y253" s="25"/>
      <c r="AS253" s="25"/>
      <c r="AU253" s="27"/>
    </row>
    <row r="254">
      <c r="B254" s="24">
        <v>209.0</v>
      </c>
      <c r="C254" s="25" t="s">
        <v>127</v>
      </c>
      <c r="D254" s="25"/>
      <c r="E254" s="25"/>
      <c r="Y254" s="25"/>
      <c r="AS254" s="25"/>
      <c r="AU254" s="27"/>
    </row>
    <row r="255">
      <c r="B255" s="24">
        <v>210.0</v>
      </c>
      <c r="C255" s="25" t="s">
        <v>127</v>
      </c>
      <c r="D255" s="25"/>
      <c r="E255" s="25"/>
      <c r="Y255" s="25"/>
      <c r="AS255" s="25"/>
      <c r="AU255" s="27"/>
    </row>
    <row r="256">
      <c r="B256" s="24">
        <v>211.0</v>
      </c>
      <c r="C256" s="25" t="s">
        <v>127</v>
      </c>
      <c r="D256" s="25"/>
      <c r="E256" s="25"/>
      <c r="Y256" s="25"/>
      <c r="AS256" s="25"/>
      <c r="AU256" s="27"/>
    </row>
    <row r="257">
      <c r="B257" s="24">
        <v>212.0</v>
      </c>
      <c r="C257" s="25" t="s">
        <v>127</v>
      </c>
      <c r="D257" s="25"/>
      <c r="E257" s="25"/>
      <c r="Y257" s="25"/>
      <c r="AS257" s="25"/>
      <c r="AU257" s="27"/>
    </row>
    <row r="258">
      <c r="B258" s="24">
        <v>213.0</v>
      </c>
      <c r="C258" s="25" t="s">
        <v>127</v>
      </c>
      <c r="D258" s="25"/>
      <c r="E258" s="25"/>
      <c r="Y258" s="25"/>
      <c r="AS258" s="25"/>
      <c r="AU258" s="27"/>
    </row>
    <row r="259">
      <c r="B259" s="24">
        <v>214.0</v>
      </c>
      <c r="C259" s="25" t="s">
        <v>127</v>
      </c>
      <c r="D259" s="25"/>
      <c r="E259" s="25"/>
      <c r="Y259" s="25"/>
      <c r="AS259" s="25"/>
      <c r="AU259" s="27"/>
    </row>
    <row r="260">
      <c r="B260" s="24">
        <v>215.0</v>
      </c>
      <c r="C260" s="25" t="s">
        <v>127</v>
      </c>
      <c r="D260" s="25"/>
      <c r="E260" s="25"/>
      <c r="Y260" s="25"/>
      <c r="AS260" s="25"/>
      <c r="AU260" s="27"/>
    </row>
    <row r="261">
      <c r="B261" s="24">
        <v>216.0</v>
      </c>
      <c r="C261" s="25" t="s">
        <v>127</v>
      </c>
      <c r="D261" s="25"/>
      <c r="E261" s="25"/>
      <c r="Y261" s="25"/>
      <c r="AS261" s="25"/>
      <c r="AU261" s="27"/>
    </row>
    <row r="262">
      <c r="B262" s="24">
        <v>217.0</v>
      </c>
      <c r="C262" s="25" t="s">
        <v>127</v>
      </c>
      <c r="D262" s="25"/>
      <c r="E262" s="25"/>
      <c r="Y262" s="25"/>
      <c r="AS262" s="25"/>
      <c r="AU262" s="27"/>
    </row>
    <row r="263">
      <c r="B263" s="24">
        <v>218.0</v>
      </c>
      <c r="C263" s="25" t="s">
        <v>127</v>
      </c>
      <c r="D263" s="25"/>
      <c r="E263" s="25"/>
      <c r="Y263" s="25"/>
      <c r="AS263" s="25"/>
      <c r="AU263" s="27"/>
    </row>
    <row r="264">
      <c r="B264" s="24">
        <v>219.0</v>
      </c>
      <c r="C264" s="25" t="s">
        <v>127</v>
      </c>
      <c r="D264" s="25"/>
      <c r="E264" s="25"/>
      <c r="Y264" s="25"/>
      <c r="AS264" s="25"/>
      <c r="AU264" s="27"/>
    </row>
    <row r="265">
      <c r="B265" s="24">
        <v>220.0</v>
      </c>
      <c r="C265" s="25" t="s">
        <v>127</v>
      </c>
      <c r="D265" s="25"/>
      <c r="E265" s="25"/>
      <c r="Y265" s="25"/>
      <c r="AS265" s="25"/>
      <c r="AU265" s="27"/>
    </row>
    <row r="266">
      <c r="B266" s="24">
        <v>221.0</v>
      </c>
      <c r="C266" s="25" t="s">
        <v>127</v>
      </c>
      <c r="D266" s="25"/>
      <c r="E266" s="25"/>
      <c r="Y266" s="25"/>
      <c r="AS266" s="25"/>
      <c r="AU266" s="27"/>
    </row>
    <row r="267">
      <c r="B267" s="24">
        <v>222.0</v>
      </c>
      <c r="C267" s="25" t="s">
        <v>127</v>
      </c>
      <c r="D267" s="25"/>
      <c r="E267" s="25"/>
      <c r="Y267" s="25"/>
      <c r="AS267" s="25"/>
      <c r="AU267" s="27"/>
    </row>
    <row r="268">
      <c r="B268" s="24">
        <v>223.0</v>
      </c>
      <c r="C268" s="25" t="s">
        <v>127</v>
      </c>
      <c r="D268" s="25"/>
      <c r="E268" s="25"/>
      <c r="Y268" s="25"/>
      <c r="AS268" s="25"/>
      <c r="AU268" s="27"/>
    </row>
    <row r="269">
      <c r="B269" s="24">
        <v>224.0</v>
      </c>
      <c r="C269" s="25" t="s">
        <v>127</v>
      </c>
      <c r="D269" s="25"/>
      <c r="E269" s="25"/>
      <c r="Y269" s="25"/>
      <c r="AS269" s="25"/>
      <c r="AU269" s="27"/>
    </row>
    <row r="270">
      <c r="B270" s="24">
        <v>225.0</v>
      </c>
      <c r="C270" s="25" t="s">
        <v>127</v>
      </c>
      <c r="D270" s="25"/>
      <c r="E270" s="25"/>
      <c r="Y270" s="25"/>
      <c r="AS270" s="25"/>
      <c r="AU270" s="27"/>
    </row>
    <row r="271">
      <c r="B271" s="24">
        <v>226.0</v>
      </c>
      <c r="C271" s="25" t="s">
        <v>127</v>
      </c>
      <c r="D271" s="25"/>
      <c r="E271" s="25"/>
      <c r="Y271" s="25"/>
      <c r="AS271" s="25"/>
      <c r="AU271" s="27"/>
    </row>
    <row r="272">
      <c r="B272" s="24">
        <v>227.0</v>
      </c>
      <c r="C272" s="25" t="s">
        <v>127</v>
      </c>
      <c r="D272" s="25"/>
      <c r="E272" s="25"/>
      <c r="Y272" s="25"/>
      <c r="AS272" s="25"/>
      <c r="AU272" s="27"/>
    </row>
    <row r="273">
      <c r="B273" s="24">
        <v>228.0</v>
      </c>
      <c r="C273" s="25" t="s">
        <v>127</v>
      </c>
      <c r="D273" s="25"/>
      <c r="E273" s="25"/>
      <c r="Y273" s="25"/>
      <c r="AS273" s="25"/>
      <c r="AU273" s="27"/>
    </row>
    <row r="274">
      <c r="B274" s="24">
        <v>229.0</v>
      </c>
      <c r="C274" s="25" t="s">
        <v>127</v>
      </c>
      <c r="D274" s="25"/>
      <c r="E274" s="25"/>
      <c r="Y274" s="25"/>
      <c r="AS274" s="25"/>
      <c r="AU274" s="27"/>
    </row>
    <row r="275">
      <c r="B275" s="24">
        <v>230.0</v>
      </c>
      <c r="C275" s="25" t="s">
        <v>127</v>
      </c>
      <c r="D275" s="25"/>
      <c r="E275" s="25"/>
      <c r="Y275" s="25"/>
      <c r="AS275" s="25"/>
      <c r="AU275" s="27"/>
    </row>
    <row r="276">
      <c r="B276" s="24">
        <v>231.0</v>
      </c>
      <c r="C276" s="25" t="s">
        <v>127</v>
      </c>
      <c r="D276" s="25"/>
      <c r="E276" s="25"/>
      <c r="Y276" s="25"/>
      <c r="AS276" s="25"/>
      <c r="AU276" s="27"/>
    </row>
    <row r="277">
      <c r="B277" s="24">
        <v>232.0</v>
      </c>
      <c r="C277" s="25" t="s">
        <v>127</v>
      </c>
      <c r="D277" s="25"/>
      <c r="E277" s="25"/>
      <c r="Y277" s="25"/>
      <c r="AS277" s="25"/>
      <c r="AU277" s="27"/>
    </row>
    <row r="278">
      <c r="B278" s="24">
        <v>233.0</v>
      </c>
      <c r="C278" s="25" t="s">
        <v>127</v>
      </c>
      <c r="D278" s="25"/>
      <c r="E278" s="25"/>
      <c r="Y278" s="25"/>
      <c r="AS278" s="25"/>
      <c r="AU278" s="27"/>
    </row>
    <row r="279">
      <c r="B279" s="24">
        <v>234.0</v>
      </c>
      <c r="C279" s="25" t="s">
        <v>127</v>
      </c>
      <c r="D279" s="25"/>
      <c r="E279" s="25"/>
      <c r="Y279" s="25"/>
      <c r="AS279" s="25"/>
      <c r="AU279" s="27"/>
    </row>
    <row r="280">
      <c r="B280" s="24">
        <v>235.0</v>
      </c>
      <c r="C280" s="25" t="s">
        <v>127</v>
      </c>
      <c r="D280" s="25"/>
      <c r="E280" s="25"/>
      <c r="Y280" s="25"/>
      <c r="AS280" s="25"/>
      <c r="AU280" s="27"/>
    </row>
    <row r="281">
      <c r="B281" s="24">
        <v>236.0</v>
      </c>
      <c r="C281" s="25" t="s">
        <v>127</v>
      </c>
      <c r="D281" s="25"/>
      <c r="E281" s="25"/>
      <c r="Y281" s="25"/>
      <c r="AS281" s="25"/>
      <c r="AU281" s="27"/>
    </row>
    <row r="282">
      <c r="B282" s="24">
        <v>237.0</v>
      </c>
      <c r="C282" s="25" t="s">
        <v>127</v>
      </c>
      <c r="D282" s="25"/>
      <c r="E282" s="25"/>
      <c r="Y282" s="25"/>
      <c r="AS282" s="25"/>
      <c r="AU282" s="27"/>
    </row>
    <row r="283">
      <c r="B283" s="24">
        <v>238.0</v>
      </c>
      <c r="C283" s="25" t="s">
        <v>127</v>
      </c>
      <c r="D283" s="25"/>
      <c r="E283" s="25"/>
      <c r="Y283" s="25"/>
      <c r="AS283" s="25"/>
      <c r="AU283" s="27"/>
    </row>
    <row r="284">
      <c r="B284" s="24">
        <v>239.0</v>
      </c>
      <c r="C284" s="25" t="s">
        <v>127</v>
      </c>
      <c r="D284" s="25"/>
      <c r="E284" s="25"/>
      <c r="Y284" s="25"/>
      <c r="AS284" s="25"/>
      <c r="AU284" s="27"/>
    </row>
    <row r="285">
      <c r="B285" s="24">
        <v>240.0</v>
      </c>
      <c r="C285" s="25" t="s">
        <v>127</v>
      </c>
      <c r="D285" s="25"/>
      <c r="E285" s="25"/>
      <c r="Y285" s="25"/>
      <c r="AS285" s="25"/>
      <c r="AU285" s="27"/>
    </row>
    <row r="286">
      <c r="B286" s="24">
        <v>241.0</v>
      </c>
      <c r="C286" s="25" t="s">
        <v>127</v>
      </c>
      <c r="D286" s="25"/>
      <c r="E286" s="25"/>
      <c r="Y286" s="25"/>
      <c r="AS286" s="25"/>
      <c r="AU286" s="27"/>
    </row>
    <row r="287">
      <c r="B287" s="24">
        <v>242.0</v>
      </c>
      <c r="C287" s="25" t="s">
        <v>127</v>
      </c>
      <c r="D287" s="25"/>
      <c r="E287" s="25"/>
      <c r="Y287" s="25"/>
      <c r="AS287" s="25"/>
      <c r="AU287" s="27"/>
    </row>
    <row r="288">
      <c r="B288" s="24">
        <v>243.0</v>
      </c>
      <c r="C288" s="25" t="s">
        <v>127</v>
      </c>
      <c r="D288" s="25"/>
      <c r="E288" s="25"/>
      <c r="Y288" s="25"/>
      <c r="AS288" s="25"/>
      <c r="AU288" s="27"/>
    </row>
    <row r="289">
      <c r="B289" s="24">
        <v>244.0</v>
      </c>
      <c r="C289" s="25" t="s">
        <v>127</v>
      </c>
      <c r="D289" s="25"/>
      <c r="E289" s="25"/>
      <c r="Y289" s="25"/>
      <c r="AS289" s="25"/>
      <c r="AU289" s="27"/>
    </row>
    <row r="290">
      <c r="B290" s="24">
        <v>245.0</v>
      </c>
      <c r="C290" s="25" t="s">
        <v>127</v>
      </c>
      <c r="D290" s="25"/>
      <c r="E290" s="25"/>
      <c r="Y290" s="25"/>
      <c r="AS290" s="25"/>
      <c r="AU290" s="27"/>
    </row>
    <row r="291">
      <c r="B291" s="24">
        <v>246.0</v>
      </c>
      <c r="C291" s="25" t="s">
        <v>127</v>
      </c>
      <c r="D291" s="25"/>
      <c r="E291" s="25"/>
      <c r="Y291" s="25"/>
      <c r="AS291" s="25"/>
      <c r="AU291" s="27"/>
    </row>
    <row r="292">
      <c r="B292" s="24">
        <v>247.0</v>
      </c>
      <c r="C292" s="25" t="s">
        <v>127</v>
      </c>
      <c r="D292" s="25"/>
      <c r="E292" s="25"/>
      <c r="Y292" s="25"/>
      <c r="AS292" s="25"/>
      <c r="AU292" s="27"/>
    </row>
    <row r="293">
      <c r="B293" s="24">
        <v>248.0</v>
      </c>
      <c r="C293" s="25" t="s">
        <v>127</v>
      </c>
      <c r="D293" s="25"/>
      <c r="E293" s="25"/>
      <c r="Y293" s="25"/>
      <c r="AS293" s="25"/>
      <c r="AU293" s="27"/>
    </row>
    <row r="294">
      <c r="B294" s="24">
        <v>249.0</v>
      </c>
      <c r="C294" s="25" t="s">
        <v>127</v>
      </c>
      <c r="D294" s="25"/>
      <c r="E294" s="25"/>
      <c r="Y294" s="25"/>
      <c r="AS294" s="25"/>
      <c r="AU294" s="27"/>
    </row>
    <row r="295">
      <c r="B295" s="24">
        <v>250.0</v>
      </c>
      <c r="C295" s="25" t="s">
        <v>127</v>
      </c>
      <c r="D295" s="25"/>
      <c r="E295" s="25"/>
      <c r="Y295" s="25"/>
      <c r="AS295" s="25"/>
      <c r="AU295" s="27"/>
    </row>
    <row r="296">
      <c r="B296" s="24">
        <v>251.0</v>
      </c>
      <c r="C296" s="25" t="s">
        <v>127</v>
      </c>
      <c r="D296" s="25"/>
      <c r="E296" s="25"/>
      <c r="Y296" s="25"/>
      <c r="AS296" s="25"/>
      <c r="AU296" s="27"/>
    </row>
    <row r="297">
      <c r="B297" s="24">
        <v>252.0</v>
      </c>
      <c r="C297" s="25" t="s">
        <v>127</v>
      </c>
      <c r="D297" s="25"/>
      <c r="E297" s="25"/>
      <c r="Y297" s="25"/>
      <c r="AS297" s="25"/>
      <c r="AU297" s="27"/>
    </row>
    <row r="298">
      <c r="B298" s="24">
        <v>253.0</v>
      </c>
      <c r="C298" s="25" t="s">
        <v>127</v>
      </c>
      <c r="D298" s="25"/>
      <c r="E298" s="25"/>
      <c r="Y298" s="25"/>
      <c r="AS298" s="25"/>
      <c r="AU298" s="27"/>
    </row>
    <row r="299">
      <c r="B299" s="38">
        <v>254.0</v>
      </c>
      <c r="C299" s="39" t="s">
        <v>127</v>
      </c>
      <c r="D299" s="39"/>
      <c r="E299" s="39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39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39"/>
      <c r="AT299" s="40"/>
      <c r="AU299" s="41"/>
    </row>
    <row r="302">
      <c r="Z302" s="26">
        <v>5.0</v>
      </c>
      <c r="AA302" s="26">
        <v>0.0</v>
      </c>
      <c r="AB302" s="26">
        <v>1.0</v>
      </c>
      <c r="AC302" s="26">
        <v>1.0</v>
      </c>
      <c r="AD302" s="26">
        <v>24.0</v>
      </c>
      <c r="AE302" s="26">
        <v>23.0</v>
      </c>
      <c r="AF302" s="26">
        <v>8.0</v>
      </c>
      <c r="AG302" s="26">
        <v>0.0</v>
      </c>
      <c r="AH302" s="26">
        <v>10.0</v>
      </c>
      <c r="AI302" s="26">
        <v>12.0</v>
      </c>
      <c r="AJ302" s="26">
        <v>4.0</v>
      </c>
      <c r="AK302" s="26">
        <v>12.0</v>
      </c>
      <c r="AL302" s="26">
        <v>10.0</v>
      </c>
      <c r="AM302" s="26">
        <v>13.0</v>
      </c>
      <c r="AN302" s="26">
        <v>3.0</v>
      </c>
      <c r="AO302" s="26">
        <v>14.0</v>
      </c>
      <c r="AP302" s="26">
        <v>20.0</v>
      </c>
      <c r="AQ302" s="26">
        <v>25.0</v>
      </c>
      <c r="AR302" s="26">
        <v>31.0</v>
      </c>
      <c r="AS302" s="25">
        <v>29.0</v>
      </c>
    </row>
  </sheetData>
  <mergeCells count="10">
    <mergeCell ref="F38:Y38"/>
    <mergeCell ref="Z38:AS38"/>
    <mergeCell ref="AT38:AU39"/>
    <mergeCell ref="B4:B6"/>
    <mergeCell ref="C4:M34"/>
    <mergeCell ref="P4:Q6"/>
    <mergeCell ref="R4:AB34"/>
    <mergeCell ref="AE4:AF6"/>
    <mergeCell ref="AG4:AQ34"/>
    <mergeCell ref="B38:B3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3" max="3" width="19.25"/>
    <col customWidth="1" min="4" max="35" width="7.63"/>
  </cols>
  <sheetData>
    <row r="4">
      <c r="B4" s="1" t="s">
        <v>0</v>
      </c>
      <c r="C4" s="2" t="str">
        <f>IFERROR(__xludf.DUMMYFUNCTION("JOIN("""", TOROW(MAP({D40:AI86}, LAMBDA(cell, IF(ISBLANK(cell), DEC2HEX(65535), CONCATENATE(RIGHT(DEC2HEX(cell, 4), 2), LEFT(DEC2HEX(cell, 4), 2))   ) ))))                "),"4A00FFFFFFFFFFFFFFFFFFFFFFFFFFFFFFFFFFFFFFFFFFFFFFFFFFFFFFFFFFFF4B00FFFFFFFFFFFFFFFFFFFFFFFFFFFFFFFFFFFFFFFFFFFFFFFFFFFFFFFFFFFF4C004D004E004F00FFFFFFFFFFFFFFFFFFFFFFFFFFFFFFFFFFFFFFFFFFFFFFFF5000510052005300FFFFFFFFFFFFFFFFFFFFFFFFFFFFFFFFFFFFFFFFFFFFFFF"&amp;"F5400FFFFFFFFFFFFFFFFFFFFFFFFFFFFFFFFFFFFFFFFFFFFFFFFFFFFFFFFFFFF5500FFFFFFFFFFFFFFFFFFFFFFFFFFFFFFFFFFFFFFFFFFFFFFFFFFFFFFFFFFFF5600570058005900FFFFFFFFFFFFFFFFFFFFFFFFFFFFFFFFFFFFFFFFFFFFFFFF5A005B005C005D00FFFFFFFFFFFFFFFFFFFFFFFFFFFFFFFFFFFFFFFFFFFFFF"&amp;"FF5E00FFFFFFFFFFFFFFFFFFFFFFFFFFFFFFFFFFFFFFFFFFFFFFFFFFFFFFFFFFFFFFFFFFFFFFFFFFFFFFFFFFFFFFFFFFFFFFFFFFFFFFFFFFFFFFFFFFFFFFFFFFFF5F00FFFFFFFFFFFFFFFFFFFFFFFFFFFFFFFFFFFFFFFFFFFFFFFFFFFFFFFFFFFFFFFFFFFFFFFFFFFFFFFFFFFFFFFFFFFFFFFFFFFFFFFFFFFFFFFFFFFFFFFFF"&amp;"FFF6000FFFFFFFFFFFFFFFFFFFFFFFFFFFFFFFFFFFFFFFFFFFFFFFFFFFFFFFFFFFF6100FFFFFFFFFFFFFFFFFFFFFFFFFFFFFFFFFFFFFFFFFFFFFFFFFFFFFFFFFFFF6200FFFFFFFFFFFFFFFFFFFFFFFFFFFFFFFFFFFFFFFFFFFFFFFFFFFFFFFFFFFFFFFFFFFFFFFFFFFFFFFFFFFFFFFFFFFFFFFFFFFFFFFFFFFFFFFFFFFFFFFF"&amp;"FFFF6300FFFFFFFFFFFFFFFFFFFFFFFFFFFFFFFFFFFFFFFFFFFFFFFFFFFFFFFFFFFF6400FFFFFFFFFFFFFFFFFFFFFFFFFFFFFFFFFFFFFFFFFFFFFFFFFFFFFFFFFFFF6500FFFFFFFFFFFFFFFFFFFFFFFFFFFFFFFFFFFFFFFFFFFFFFFFFFFFFFFFFFFFFFFFFFFFFFFFFFFFFFFFFFFFFFFFFFFFFFFFFFFFFFFFFFFFFFFFFFFFFFF"&amp;"FFFFF6600FFFFFFFFFFFFFFFFFFFFFFFFFFFFFFFFFFFFFFFFFFFFFFFFFFFFFFFFFFFFFFFFFFFFFFFFFFFFFFFFFFFFFFFFFFFFFFFFFFFFFFFFFFFFFFFFFFFFFFFFFFFF6700FFFFFFFFFFFFFFFFFFFFFFFFFFFF6800FFFFFFFFFFFFFFFFFFFFFFFFFFFFFFFFFFFFFFFFFFFFFFFFFFFFFFFFFFFFFFFFFFFFFFFFFFFFFFFFFFFFFF"&amp;"FFFFFF6900FFFFFFFFFFFFFFFFFFFFFFFFFFFF6A00FFFFFFFFFFFFFFFFFFFFFFFFFFFFFFFFFFFFFFFFFFFFFFFFFFFFFFFFFFFFFFFFFFFFFFFFFFFFFFFFFFFFFFFFFFFF6B00FFFFFFFFFFFFFFFFFFFFFFFFFFFF6C00FFFFFFFFFFFFFFFFFFFFFFFFFFFFFFFFFFFFFFFFFFFFFFFFFFFFFFFFFFFFFFFFFFFFFFFFFFFFFFFFFFFFF"&amp;"FFFFFFF6D00FFFFFFFFFFFFFFFFFFFFFFFFFFFF6E00FFFFFFFFFFFFFFFFFFFFFFFFFFFFFFFFFFFFFFFFFFFFFFFFFFFFFFFFFFFFFFFFFFFFFFFFFFFFFFFFFFFFFFFFFFFF6F00FFFFFFFFFFFFFFFFFFFFFFFFFFFF7000FFFFFFFFFFFFFFFFFFFFFFFFFFFFFFFFFFFFFFFFFFFFFFFFFFFFFFFFFFFFFFFFFFFFFFFFFFFFFFFFFFFF"&amp;"FFFFFFFF6200FFFFFFFFFFFFFFFFFFFFFFFFFFFFFFFFFFFFFFFFFFFFFFFFFFFFFFFFFFFFFFFFFFFFFFFFFFFFFFFFFFFFFFFFFFFFFFFFFFFFFFFFFFFFFFFFFFFFFFFFFFFF7100FFFFFFFFFFFFFFFFFFFFFFFFFFFF7200FFFFFFFFFFFFFFFFFFFFFFFFFFFFFFFFFFFFFFFFFFFFFFFFFFFFFFFFFFFFFFFFFFFFFFFFFFFFFFFFFFF"&amp;"FFFFFFFFF7300FFFFFFFFFFFFFFFFFFFFFFFFFFFF7400FFFFFFFFFFFFFFFFFFFFFFFFFFFF7500FFFFFFFFFFFFFFFFFFFFFFFFFFFFFFFFFFFFFFFFFFFFFFFFFFFFFFFFFFFF7600FFFFFFFFFFFFFFFFFFFFFFFFFFFFFFFFFFFFFFFFFFFFFFFFFFFFFFFFFFFF7700FFFFFFFFFFFFFFFFFFFFFFFFFFFFFFFFFFFFFFFFFFFFFFFFFF"&amp;"FFFFFFFFFF7800FFFFFFFFFFFFFFFFFFFFFFFFFFFFFFFFFFFFFFFFFFFFFFFFFFFFFFFFFFFFFFFFFFFFFFFFFFFFFFFFFFFFFFFFFFFFFFFFFFFFFFFFFFFFFFFFFFFFFFFFFFFF7900FFFFFFFFFFFF7A007B007C007D007E00FFFFFFFFFFFF7F008000810082008300FFFFFFFFFFFF84008500860087008800FFFFFFFFFFFF89008"&amp;"A008B008C008D00FFFFFFFFFFFF8E008F00900091009200FFFFFFFFFFFF93009400950096009700FFFFFFFFFFFF980099009A009B009C00FFFFFFFFFFFF9D009E009F00A000A100FFFFFFFFFFFFA200A300A400A500A600FFFFFFFFFFFFA700A800A900AA00AB00FFFFFFFFFFFFAC00AD00AE00AF00B000FFFFFFFFFFFFB100"&amp;"B200B300B400B500FFFFFFFFFFFFB600FFFFFFFFFFFFB700FFFFFFFFFFFFB800FFFFFFFFFFFFB900FFFFFFFFFFFFBA00FFFFFFFFFFFFBB00FFFFFFFFFFFFBC00FFFFFFFFFFFFBD00FFFFFFFFFFFFBE00BF00C000FFFFC100FFFFFFFFFFFFC200C300C400FFFFC500FFFFFFFFFFFFC600C700C800FFFFC900FFFFFFFFFFFFCA0"&amp;"0CB00CC00FFFFCD00FFFFFFFFFFFFCE00CF00D000FFFFD100FFFFFFFFFFFFD200D300D400FFFFD500FFFFFFFFFFFFD600D700D800FFFFD900FFFFFFFFFFFFDA00DB00DC00FFFFDD00FFFFFFFFFFFFDE00DF00E000FFFFE100FFFFFFFFFFFFE200E300E400FFFFE500FFFFFFFFFFFFE600E700E800FFFFE900FFFFFFFFFFFFEA"&amp;"00EB00EC00FFFFED00FFFFFFFFFFFFEE00EF00F000FFFFF100FFFFFFFFFFFFF200F300F400FFFFF500FFFFFFFFFFFFF600F700F800FFFFF900FFFFFFFFFFFFFA00FB00FC00FFFFFD00FFFFFFFFFFFFFE00FF00000101010201FFFFFFFFFFFF03010401050106010701FFFFFFFFFFFF080109010A010B010C01FFFFFFFFFFFF0"&amp;"D010E010F0110011101FFFFFFFFFFFF12011301140115011601FFFFFFFFFFFF1701180119011A011B01FFFFFFFFFFFF1C011D011E011F012001FFFFFFFFFFFF21012201230124012501FFFFFFFFFFFF26012701280129012A01FFFFFFFFFFFF2B012C012D012E012F01FFFFFFFFFFFF30013101320133013401FFFFFFFFFFFF"&amp;"35013601370138013901FFFFFFFFFFFF3A013B01FFFFFFFF3C01FFFFFFFFFFFF3D013E01FFFFFFFF3F01FFFFFFFFFFFF40014101FFFFFFFF4201FFFFFFFFFFFF43014401FFFFFFFF4501FFFFFFFFFFFF46014701FFFFFFFF4801FFFFFFFFFFFF49014A01FFFFFFFF4B01FFFFFFFFFFFF4B014C01FFFFFFFF4D01FFFFFFFFFFF"&amp;"F4D014E01FFFFFFFF4F01FFFFFFFFFFFFFFFFFFFFFFFFFFFFFFFFFFFFFFFFFFFFFFFFFFFFFFFFFFFFFFFFFFFFFFFFFFFFFFFFFFFFFFFFFFFFFFFFFFFFFFFFFFFFFFFFFFFFFFFFFFFF4F01FFFFFFFFFFFFFFFFFFFFFFFFFFFFFFFFFFFFFFFFFFFFFFFFFFFFFFFFFFFFFFFFFFFFFFFFFFFFFFFFFFFFFFFFFFFFFFFFFFFFFFFFFF"&amp;"FFFFFFFFFFFFFFFFFF4F01FFFFFFFFFFFFFFFFFFFFFFFFFFFFFFFFFFFFFFFFFFFFFFFFFFFFFFFFFFFFFFFFFFFFFFFFFFFFFFFFFFFFFFFFFFFFFFFFFFFFFFFFFFFFFFFFFFFFFFFFFFFF5001FFFFFFFFFFFFFFFFFFFFFFFFFFFF5101FFFFFFFFFFFFFFFFFFFFFFFFFFFF5201FFFFFFFFFFFFFFFFFFFFFFFFFFFFFFFFFFFFFFFFF"&amp;"FFFFFFFFFFFFFFFFFFF5301FFFFFFFFFFFFFFFFFFFFFFFFFFFFFFFFFFFFFFFFFFFFFFFFFFFFFFFFFFFFFFFFFFFFFFFFFFFFFFFFFFFFFFFFFFFFFFFFFFFFFFFFFFFFFFFFFFFFFFFFFFFF5401FFFFFFFFFFFFFFFFFFFFFFFFFFFFFFFFFFFFFFFFFFFFFFFFFFFFFFFFFFFFFFFFFFFFFFFFFFFFFFFFFFFFFFFFFFFFFFFFFFFFFFFF"&amp;"FFFFFFFFFFFFFFFFFFFF5501FFFFFFFFFFFFFFFFFFFFFFFFFFFFFFFFFFFFFFFFFFFFFFFFFFFFFFFFFFFFFFFFFFFFFFFFFFFFFFFFFFFFFFFFFFFFFFFFFFFFFFFFFFFFFFFFFFFFFFFFFFFF5601FFFFFFFFFFFFFFFFFFFFFFFFFFFFFFFFFFFFFFFFFFFFFFFFFFFFFFFFFFFFFFFFFFFFFFFFFFFFFFFFFFFFFFFFFFFFFFFFFFFFFFF"&amp;"FFFFFFFFFFFFFFFFFFFFF5701FFFFFFFFFFFFFFFFFFFFFFFFFFFFFFFFFFFFFFFFFFFFFFFFFFFFFFFFFFFFFFFFFFFFFFFFFFFFFFFFFFFFFFFFFFFFFFFFFFFFFFFFFFFFFFFFFFFFFFFFFFFF5801FFFFFFFFFFFFFFFFFFFFFFFFFFFFFFFFFFFFFFFFFFFFFFFFFFFFFFFFFFFFFFFFFFFFFFFFFFFFFFFFFFFFFFFFFFFFFFFFFFFFFF"&amp;"FFFFFFFFFFFFFFFFFFFFFF5901FFFFFFFFFFFFFFFFFFFFFFFFFFFFFFFFFFFFFFFFFFFFFFFFFFFFFFFFFFFFFFFFFFFFFFFFFFFFFFFFFFFFFFFFFFFFFFFFFFFFFFFFFFFFFFFFFFFFFFFFFFFF5A01FFFFFFFFFFFFFFFFFFFFFFFFFFFFFFFFFFFFFFFFFFFFFFFFFFFFFFFFFFFFFFFFFFFFFFFFFFFFFFFFFFFFFFFFFFFFFFFFFFFFF"&amp;"FFFFFFFFFFFFFFFFFFFFFFF5B01FFFFFFFFFFFF5C01FFFFFFFFFFFF5D01FFFFFFFFFFFF5E01FFFFFFFFFFFFFFFFFFFFFFFFFFFFFFFFFFFFFFFFFFFF5F01FFFFFFFFFFFF6001FFFFFFFFFFFF")</f>
        <v>4A00FFFFFFFFFFFFFFFFFFFFFFFFFFFFFFFFFFFFFFFFFFFFFFFFFFFFFFFFFFFF4B00FFFFFFFFFFFFFFFFFFFFFFFFFFFFFFFFFFFFFFFFFFFFFFFFFFFFFFFFFFFF4C004D004E004F00FFFFFFFFFFFFFFFFFFFFFFFFFFFFFFFFFFFFFFFFFFFFFFFF5000510052005300FFFFFFFFFFFFFFFFFFFFFFFFFFFFFFFFFFFFFFFFFFFFFFFF5400FFFFFFFFFFFFFFFFFFFFFFFFFFFFFFFFFFFFFFFFFFFFFFFFFFFFFFFFFFFF5500FFFFFFFFFFFFFFFFFFFFFFFFFFFFFFFFFFFFFFFFFFFFFFFFFFFFFFFFFFFF5600570058005900FFFFFFFFFFFFFFFFFFFFFFFFFFFFFFFFFFFFFFFFFFFFFFFF5A005B005C005D00FFFFFFFFFFFFFFFFFFFFFFFFFFFFFFFFFFFFFFFFFFFFFFFF5E00FFFFFFFFFFFFFFFFFFFFFFFFFFFFFFFFFFFFFFFFFFFFFFFFFFFFFFFFFFFFFFFFFFFFFFFFFFFFFFFFFFFFFFFFFFFFFFFFFFFFFFFFFFFFFFFFFFFFFFFFFFFF5F00FFFFFFFFFFFFFFFFFFFFFFFFFFFFFFFFFFFFFFFFFFFFFFFFFFFFFFFFFFFFFFFFFFFFFFFFFFFFFFFFFFFFFFFFFFFFFFFFFFFFFFFFFFFFFFFFFFFFFFFFFFFF6000FFFFFFFFFFFFFFFFFFFFFFFFFFFFFFFFFFFFFFFFFFFFFFFFFFFFFFFFFFFF6100FFFFFFFFFFFFFFFFFFFFFFFFFFFFFFFFFFFFFFFFFFFFFFFFFFFFFFFFFFFF6200FFFFFFFFFFFFFFFFFFFFFFFFFFFFFFFFFFFFFFFFFFFFFFFFFFFFFFFFFFFFFFFFFFFFFFFFFFFFFFFFFFFFFFFFFFFFFFFFFFFFFFFFFFFFFFFFFFFFFFFFFFFF6300FFFFFFFFFFFFFFFFFFFFFFFFFFFFFFFFFFFFFFFFFFFFFFFFFFFFFFFFFFFF6400FFFFFFFFFFFFFFFFFFFFFFFFFFFFFFFFFFFFFFFFFFFFFFFFFFFFFFFFFFFF6500FFFFFFFFFFFFFFFFFFFFFFFFFFFFFFFFFFFFFFFFFFFFFFFFFFFFFFFFFFFFFFFFFFFFFFFFFFFFFFFFFFFFFFFFFFFFFFFFFFFFFFFFFFFFFFFFFFFFFFFFFFFF6600FFFFFFFFFFFFFFFFFFFFFFFFFFFFFFFFFFFFFFFFFFFFFFFFFFFFFFFFFFFFFFFFFFFFFFFFFFFFFFFFFFFFFFFFFFFFFFFFFFFFFFFFFFFFFFFFFFFFFFFFFFFF6700FFFFFFFFFFFFFFFFFFFFFFFFFFFF6800FFFFFFFFFFFFFFFFFFFFFFFFFFFFFFFFFFFFFFFFFFFFFFFFFFFFFFFFFFFFFFFFFFFFFFFFFFFFFFFFFFFFFFFFFFFF6900FFFFFFFFFFFFFFFFFFFFFFFFFFFF6A00FFFFFFFFFFFFFFFFFFFFFFFFFFFFFFFFFFFFFFFFFFFFFFFFFFFFFFFFFFFFFFFFFFFFFFFFFFFFFFFFFFFFFFFFFFFF6B00FFFFFFFFFFFFFFFFFFFFFFFFFFFF6C00FFFFFFFFFFFFFFFFFFFFFFFFFFFFFFFFFFFFFFFFFFFFFFFFFFFFFFFFFFFFFFFFFFFFFFFFFFFFFFFFFFFFFFFFFFFF6D00FFFFFFFFFFFFFFFFFFFFFFFFFFFF6E00FFFFFFFFFFFFFFFFFFFFFFFFFFFFFFFFFFFFFFFFFFFFFFFFFFFFFFFFFFFFFFFFFFFFFFFFFFFFFFFFFFFFFFFFFFFF6F00FFFFFFFFFFFFFFFFFFFFFFFFFFFF7000FFFFFFFFFFFFFFFFFFFFFFFFFFFFFFFFFFFFFFFFFFFFFFFFFFFFFFFFFFFFFFFFFFFFFFFFFFFFFFFFFFFFFFFFFFFF6200FFFFFFFFFFFFFFFFFFFFFFFFFFFFFFFFFFFFFFFFFFFFFFFFFFFFFFFFFFFFFFFFFFFFFFFFFFFFFFFFFFFFFFFFFFFFFFFFFFFFFFFFFFFFFFFFFFFFFFFFFFFF7100FFFFFFFFFFFFFFFFFFFFFFFFFFFF7200FFFFFFFFFFFFFFFFFFFFFFFFFFFFFFFFFFFFFFFFFFFFFFFFFFFFFFFFFFFFFFFFFFFFFFFFFFFFFFFFFFFFFFFFFFFF7300FFFFFFFFFFFFFFFFFFFFFFFFFFFF7400FFFFFFFFFFFFFFFFFFFFFFFFFFFF7500FFFFFFFFFFFFFFFFFFFFFFFFFFFFFFFFFFFFFFFFFFFFFFFFFFFFFFFFFFFF7600FFFFFFFFFFFFFFFFFFFFFFFFFFFFFFFFFFFFFFFFFFFFFFFFFFFFFFFFFFFF7700FFFFFFFFFFFFFFFFFFFFFFFFFFFFFFFFFFFFFFFFFFFFFFFFFFFFFFFFFFFF7800FFFFFFFFFFFFFFFFFFFFFFFFFFFFFFFFFFFFFFFFFFFFFFFFFFFFFFFFFFFFFFFFFFFFFFFFFFFFFFFFFFFFFFFFFFFFFFFFFFFFFFFFFFFFFFFFFFFFFFFFFFFF7900FFFFFFFFFFFF7A007B007C007D007E00FFFFFFFFFFFF7F008000810082008300FFFFFFFFFFFF84008500860087008800FFFFFFFFFFFF89008A008B008C008D00FFFFFFFFFFFF8E008F00900091009200FFFFFFFFFFFF93009400950096009700FFFFFFFFFFFF980099009A009B009C00FFFFFFFFFFFF9D009E009F00A000A100FFFFFFFFFFFFA200A300A400A500A600FFFFFFFFFFFFA700A800A900AA00AB00FFFFFFFFFFFFAC00AD00AE00AF00B000FFFFFFFFFFFFB100B200B300B400B500FFFFFFFFFFFFB600FFFFFFFFFFFFB700FFFFFFFFFFFFB800FFFFFFFFFFFFB900FFFFFFFFFFFFBA00FFFFFFFFFFFFBB00FFFFFFFFFFFFBC00FFFFFFFFFFFFBD00FFFFFFFFFFFFBE00BF00C000FFFFC100FFFFFFFFFFFFC200C300C400FFFFC500FFFFFFFFFFFFC600C700C800FFFFC900FFFFFFFFFFFFCA00CB00CC00FFFFCD00FFFFFFFFFFFFCE00CF00D000FFFFD100FFFFFFFFFFFFD200D300D400FFFFD500FFFFFFFFFFFFD600D700D800FFFFD900FFFFFFFFFFFFDA00DB00DC00FFFFDD00FFFFFFFFFFFFDE00DF00E000FFFFE100FFFFFFFFFFFFE200E300E400FFFFE500FFFFFFFFFFFFE600E700E800FFFFE900FFFFFFFFFFFFEA00EB00EC00FFFFED00FFFFFFFFFFFFEE00EF00F000FFFFF100FFFFFFFFFFFFF200F300F400FFFFF500FFFFFFFFFFFFF600F700F800FFFFF900FFFFFFFFFFFFFA00FB00FC00FFFFFD00FFFFFFFFFFFFFE00FF00000101010201FFFFFFFFFFFF03010401050106010701FFFFFFFFFFFF080109010A010B010C01FFFFFFFFFFFF0D010E010F0110011101FFFFFFFFFFFF12011301140115011601FFFFFFFFFFFF1701180119011A011B01FFFFFFFFFFFF1C011D011E011F012001FFFFFFFFFFFF21012201230124012501FFFFFFFFFFFF26012701280129012A01FFFFFFFFFFFF2B012C012D012E012F01FFFFFFFFFFFF30013101320133013401FFFFFFFFFFFF35013601370138013901FFFFFFFFFFFF3A013B01FFFFFFFF3C01FFFFFFFFFFFF3D013E01FFFFFFFF3F01FFFFFFFFFFFF40014101FFFFFFFF4201FFFFFFFFFFFF43014401FFFFFFFF4501FFFFFFFFFFFF46014701FFFFFFFF4801FFFFFFFFFFFF49014A01FFFFFFFF4B01FFFFFFFFFFFF4B014C01FFFFFFFF4D01FFFFFFFFFFFF4D014E01FFFFFFFF4F01FFFFFFFFFFFFFFFFFFFFFFFFFFFFFFFFFFFFFFFFFFFFFFFFFFFFFFFFFFFFFFFFFFFFFFFFFFFFFFFFFFFFFFFFFFFFFFFFFFFFFFFFFFFFFFFFFFFFFFFFFFFF4F01FFFFFFFFFFFFFFFFFFFFFFFFFFFFFFFFFFFFFFFFFFFFFFFFFFFFFFFFFFFFFFFFFFFFFFFFFFFFFFFFFFFFFFFFFFFFFFFFFFFFFFFFFFFFFFFFFFFFFFFFFFFF4F01FFFFFFFFFFFFFFFFFFFFFFFFFFFFFFFFFFFFFFFFFFFFFFFFFFFFFFFFFFFFFFFFFFFFFFFFFFFFFFFFFFFFFFFFFFFFFFFFFFFFFFFFFFFFFFFFFFFFFFFFFFFF5001FFFFFFFFFFFFFFFFFFFFFFFFFFFF5101FFFFFFFFFFFFFFFFFFFFFFFFFFFF5201FFFFFFFFFFFFFFFFFFFFFFFFFFFFFFFFFFFFFFFFFFFFFFFFFFFFFFFFFFFF5301FFFFFFFFFFFFFFFFFFFFFFFFFFFFFFFFFFFFFFFFFFFFFFFFFFFFFFFFFFFFFFFFFFFFFFFFFFFFFFFFFFFFFFFFFFFFFFFFFFFFFFFFFFFFFFFFFFFFFFFFFFFF5401FFFFFFFFFFFFFFFFFFFFFFFFFFFFFFFFFFFFFFFFFFFFFFFFFFFFFFFFFFFFFFFFFFFFFFFFFFFFFFFFFFFFFFFFFFFFFFFFFFFFFFFFFFFFFFFFFFFFFFFFFFFF5501FFFFFFFFFFFFFFFFFFFFFFFFFFFFFFFFFFFFFFFFFFFFFFFFFFFFFFFFFFFFFFFFFFFFFFFFFFFFFFFFFFFFFFFFFFFFFFFFFFFFFFFFFFFFFFFFFFFFFFFFFFFF5601FFFFFFFFFFFFFFFFFFFFFFFFFFFFFFFFFFFFFFFFFFFFFFFFFFFFFFFFFFFFFFFFFFFFFFFFFFFFFFFFFFFFFFFFFFFFFFFFFFFFFFFFFFFFFFFFFFFFFFFFFFFF5701FFFFFFFFFFFFFFFFFFFFFFFFFFFFFFFFFFFFFFFFFFFFFFFFFFFFFFFFFFFFFFFFFFFFFFFFFFFFFFFFFFFFFFFFFFFFFFFFFFFFFFFFFFFFFFFFFFFFFFFFFFFF5801FFFFFFFFFFFFFFFFFFFFFFFFFFFFFFFFFFFFFFFFFFFFFFFFFFFFFFFFFFFFFFFFFFFFFFFFFFFFFFFFFFFFFFFFFFFFFFFFFFFFFFFFFFFFFFFFFFFFFFFFFFFF5901FFFFFFFFFFFFFFFFFFFFFFFFFFFFFFFFFFFFFFFFFFFFFFFFFFFFFFFFFFFFFFFFFFFFFFFFFFFFFFFFFFFFFFFFFFFFFFFFFFFFFFFFFFFFFFFFFFFFFFFFFFFF5A01FFFFFFFFFFFFFFFFFFFFFFFFFFFFFFFFFFFFFFFFFFFFFFFFFFFFFFFFFFFFFFFFFFFFFFFFFFFFFFFFFFFFFFFFFFFFFFFFFFFFFFFFFFFFFFFFFFFFFFFFFFFF5B01FFFFFFFFFFFF5C01FFFFFFFFFFFF5D01FFFFFFFFFFFF5E01FFFFFFFFFFFFFFFFFFFFFFFFFFFFFFFFFFFFFFFFFFFF5F01FFFFFFFFFFFF6001FFFFFFFFFFFF</v>
      </c>
      <c r="D4" s="3"/>
      <c r="E4" s="3"/>
      <c r="F4" s="3"/>
      <c r="G4" s="3"/>
      <c r="H4" s="3"/>
      <c r="I4" s="3"/>
      <c r="J4" s="3"/>
      <c r="K4" s="3"/>
      <c r="L4" s="3"/>
      <c r="M4" s="4"/>
      <c r="P4" s="5" t="s">
        <v>1</v>
      </c>
      <c r="Q4" s="4"/>
      <c r="R4" s="2" t="str">
        <f>IFERROR(__xludf.DUMMYFUNCTION("JOIN("""", TOROW(MAP({D40:AI156}, LAMBDA(cell, IF(ISBLANK(cell), DEC2HEX(65535), CONCATENATE(RIGHT(DEC2HEX(cell, 4), 2), LEFT(DEC2HEX(cell, 4), 2))   ) ))))                "),"4A00FFFFFFFFFFFFFFFFFFFFFFFFFFFFFFFFFFFFFFFFFFFFFFFFFFFFFFFFFFFF4B00FFFFFFFFFFFFFFFFFFFFFFFFFFFFFFFFFFFFFFFFFFFFFFFFFFFFFFFFFFFF4C004D004E004F00FFFFFFFFFFFFFFFFFFFFFFFFFFFFFFFFFFFFFFFFFFFFFFFF5000510052005300FFFFFFFFFFFFFFFFFFFFFFFFFFFFFFFFFFFFFFFFFFFFFFF"&amp;"F5400FFFFFFFFFFFFFFFFFFFFFFFFFFFFFFFFFFFFFFFFFFFFFFFFFFFFFFFFFFFF5500FFFFFFFFFFFFFFFFFFFFFFFFFFFFFFFFFFFFFFFFFFFFFFFFFFFFFFFFFFFF5600570058005900FFFFFFFFFFFFFFFFFFFFFFFFFFFFFFFFFFFFFFFFFFFFFFFF5A005B005C005D00FFFFFFFFFFFFFFFFFFFFFFFFFFFFFFFFFFFFFFFFFFFFFF"&amp;"FF5E00FFFFFFFFFFFFFFFFFFFFFFFFFFFFFFFFFFFFFFFFFFFFFFFFFFFFFFFFFFFFFFFFFFFFFFFFFFFFFFFFFFFFFFFFFFFFFFFFFFFFFFFFFFFFFFFFFFFFFFFFFFFF5F00FFFFFFFFFFFFFFFFFFFFFFFFFFFFFFFFFFFFFFFFFFFFFFFFFFFFFFFFFFFFFFFFFFFFFFFFFFFFFFFFFFFFFFFFFFFFFFFFFFFFFFFFFFFFFFFFFFFFFFFFF"&amp;"FFF6000FFFFFFFFFFFFFFFFFFFFFFFFFFFFFFFFFFFFFFFFFFFFFFFFFFFFFFFFFFFF6100FFFFFFFFFFFFFFFFFFFFFFFFFFFFFFFFFFFFFFFFFFFFFFFFFFFFFFFFFFFF6200FFFFFFFFFFFFFFFFFFFFFFFFFFFFFFFFFFFFFFFFFFFFFFFFFFFFFFFFFFFFFFFFFFFFFFFFFFFFFFFFFFFFFFFFFFFFFFFFFFFFFFFFFFFFFFFFFFFFFFFF"&amp;"FFFF6300FFFFFFFFFFFFFFFFFFFFFFFFFFFFFFFFFFFFFFFFFFFFFFFFFFFFFFFFFFFF6400FFFFFFFFFFFFFFFFFFFFFFFFFFFFFFFFFFFFFFFFFFFFFFFFFFFFFFFFFFFF6500FFFFFFFFFFFFFFFFFFFFFFFFFFFFFFFFFFFFFFFFFFFFFFFFFFFFFFFFFFFFFFFFFFFFFFFFFFFFFFFFFFFFFFFFFFFFFFFFFFFFFFFFFFFFFFFFFFFFFFF"&amp;"FFFFF6600FFFFFFFFFFFFFFFFFFFFFFFFFFFFFFFFFFFFFFFFFFFFFFFFFFFFFFFFFFFFFFFFFFFFFFFFFFFFFFFFFFFFFFFFFFFFFFFFFFFFFFFFFFFFFFFFFFFFFFFFFFFF6700FFFFFFFFFFFFFFFFFFFFFFFFFFFF6800FFFFFFFFFFFFFFFFFFFFFFFFFFFFFFFFFFFFFFFFFFFFFFFFFFFFFFFFFFFFFFFFFFFFFFFFFFFFFFFFFFFFFF"&amp;"FFFFFF6900FFFFFFFFFFFFFFFFFFFFFFFFFFFF6A00FFFFFFFFFFFFFFFFFFFFFFFFFFFFFFFFFFFFFFFFFFFFFFFFFFFFFFFFFFFFFFFFFFFFFFFFFFFFFFFFFFFFFFFFFFFF6B00FFFFFFFFFFFFFFFFFFFFFFFFFFFF6C00FFFFFFFFFFFFFFFFFFFFFFFFFFFFFFFFFFFFFFFFFFFFFFFFFFFFFFFFFFFFFFFFFFFFFFFFFFFFFFFFFFFFF"&amp;"FFFFFFF6D00FFFFFFFFFFFFFFFFFFFFFFFFFFFF6E00FFFFFFFFFFFFFFFFFFFFFFFFFFFFFFFFFFFFFFFFFFFFFFFFFFFFFFFFFFFFFFFFFFFFFFFFFFFFFFFFFFFFFFFFFFFF6F00FFFFFFFFFFFFFFFFFFFFFFFFFFFF7000FFFFFFFFFFFFFFFFFFFFFFFFFFFFFFFFFFFFFFFFFFFFFFFFFFFFFFFFFFFFFFFFFFFFFFFFFFFFFFFFFFFF"&amp;"FFFFFFFF6200FFFFFFFFFFFFFFFFFFFFFFFFFFFFFFFFFFFFFFFFFFFFFFFFFFFFFFFFFFFFFFFFFFFFFFFFFFFFFFFFFFFFFFFFFFFFFFFFFFFFFFFFFFFFFFFFFFFFFFFFFFFF7100FFFFFFFFFFFFFFFFFFFFFFFFFFFF7200FFFFFFFFFFFFFFFFFFFFFFFFFFFFFFFFFFFFFFFFFFFFFFFFFFFFFFFFFFFFFFFFFFFFFFFFFFFFFFFFFFF"&amp;"FFFFFFFFF7300FFFFFFFFFFFFFFFFFFFFFFFFFFFF7400FFFFFFFFFFFFFFFFFFFFFFFFFFFF7500FFFFFFFFFFFFFFFFFFFFFFFFFFFFFFFFFFFFFFFFFFFFFFFFFFFFFFFFFFFF7600FFFFFFFFFFFFFFFFFFFFFFFFFFFFFFFFFFFFFFFFFFFFFFFFFFFFFFFFFFFF7700FFFFFFFFFFFFFFFFFFFFFFFFFFFFFFFFFFFFFFFFFFFFFFFFFF"&amp;"FFFFFFFFFF7800FFFFFFFFFFFFFFFFFFFFFFFFFFFFFFFFFFFFFFFFFFFFFFFFFFFFFFFFFFFFFFFFFFFFFFFFFFFFFFFFFFFFFFFFFFFFFFFFFFFFFFFFFFFFFFFFFFFFFFFFFFFF7900FFFFFFFFFFFF7A007B007C007D007E00FFFFFFFFFFFF7F008000810082008300FFFFFFFFFFFF84008500860087008800FFFFFFFFFFFF89008"&amp;"A008B008C008D00FFFFFFFFFFFF8E008F00900091009200FFFFFFFFFFFF93009400950096009700FFFFFFFFFFFF980099009A009B009C00FFFFFFFFFFFF9D009E009F00A000A100FFFFFFFFFFFFA200A300A400A500A600FFFFFFFFFFFFA700A800A900AA00AB00FFFFFFFFFFFFAC00AD00AE00AF00B000FFFFFFFFFFFFB100"&amp;"B200B300B400B500FFFFFFFFFFFFB600FFFFFFFFFFFFB700FFFFFFFFFFFFB800FFFFFFFFFFFFB900FFFFFFFFFFFFBA00FFFFFFFFFFFFBB00FFFFFFFFFFFFBC00FFFFFFFFFFFFBD00FFFFFFFFFFFFBE00BF00C000FFFFC100FFFFFFFFFFFFC200C300C400FFFFC500FFFFFFFFFFFFC600C700C800FFFFC900FFFFFFFFFFFFCA0"&amp;"0CB00CC00FFFFCD00FFFFFFFFFFFFCE00CF00D000FFFFD100FFFFFFFFFFFFD200D300D400FFFFD500FFFFFFFFFFFFD600D700D800FFFFD900FFFFFFFFFFFFDA00DB00DC00FFFFDD00FFFFFFFFFFFFDE00DF00E000FFFFE100FFFFFFFFFFFFE200E300E400FFFFE500FFFFFFFFFFFFE600E700E800FFFFE900FFFFFFFFFFFFEA"&amp;"00EB00EC00FFFFED00FFFFFFFFFFFFEE00EF00F000FFFFF100FFFFFFFFFFFFF200F300F400FFFFF500FFFFFFFFFFFFF600F700F800FFFFF900FFFFFFFFFFFFFA00FB00FC00FFFFFD00FFFFFFFFFFFFFE00FF00000101010201FFFFFFFFFFFF03010401050106010701FFFFFFFFFFFF080109010A010B010C01FFFFFFFFFFFF0"&amp;"D010E010F0110011101FFFFFFFFFFFF12011301140115011601FFFFFFFFFFFF1701180119011A011B01FFFFFFFFFFFF1C011D011E011F012001FFFFFFFFFFFF21012201230124012501FFFFFFFFFFFF26012701280129012A01FFFFFFFFFFFF2B012C012D012E012F01FFFFFFFFFFFF30013101320133013401FFFFFFFFFFFF"&amp;"35013601370138013901FFFFFFFFFFFF3A013B01FFFFFFFF3C01FFFFFFFFFFFF3D013E01FFFFFFFF3F01FFFFFFFFFFFF40014101FFFFFFFF4201FFFFFFFFFFFF43014401FFFFFFFF4501FFFFFFFFFFFF46014701FFFFFFFF4801FFFFFFFFFFFF49014A01FFFFFFFF4B01FFFFFFFFFFFF4B014C01FFFFFFFF4D01FFFFFFFFFFF"&amp;"F4D014E01FFFFFFFF4F01FFFFFFFFFFFFFFFFFFFFFFFFFFFFFFFFFFFFFFFFFFFFFFFFFFFFFFFFFFFFFFFFFFFFFFFFFFFFFFFFFFFFFFFFFFFFFFFFFFFFFFFFFFFFFFFFFFFFFFFFFFFF4F01FFFFFFFFFFFFFFFFFFFFFFFFFFFFFFFFFFFFFFFFFFFFFFFFFFFFFFFFFFFFFFFFFFFFFFFFFFFFFFFFFFFFFFFFFFFFFFFFFFFFFFFFFF"&amp;"FFFFFFFFFFFFFFFFFF4F01FFFFFFFFFFFFFFFFFFFFFFFFFFFFFFFFFFFFFFFFFFFFFFFFFFFFFFFFFFFFFFFFFFFFFFFFFFFFFFFFFFFFFFFFFFFFFFFFFFFFFFFFFFFFFFFFFFFFFFFFFFFF5001FFFFFFFFFFFFFFFFFFFFFFFFFFFF5101FFFFFFFFFFFFFFFFFFFFFFFFFFFF5201FFFFFFFFFFFFFFFFFFFFFFFFFFFFFFFFFFFFFFFFF"&amp;"FFFFFFFFFFFFFFFFFFF5301FFFFFFFFFFFFFFFFFFFFFFFFFFFFFFFFFFFFFFFFFFFFFFFFFFFFFFFFFFFFFFFFFFFFFFFFFFFFFFFFFFFFFFFFFFFFFFFFFFFFFFFFFFFFFFFFFFFFFFFFFFFF5401FFFFFFFFFFFFFFFFFFFFFFFFFFFFFFFFFFFFFFFFFFFFFFFFFFFFFFFFFFFFFFFFFFFFFFFFFFFFFFFFFFFFFFFFFFFFFFFFFFFFFFFF"&amp;"FFFFFFFFFFFFFFFFFFFF5501FFFFFFFFFFFFFFFFFFFFFFFFFFFFFFFFFFFFFFFFFFFFFFFFFFFFFFFFFFFFFFFFFFFFFFFFFFFFFFFFFFFFFFFFFFFFFFFFFFFFFFFFFFFFFFFFFFFFFFFFFFFF5601FFFFFFFFFFFFFFFFFFFFFFFFFFFFFFFFFFFFFFFFFFFFFFFFFFFFFFFFFFFFFFFFFFFFFFFFFFFFFFFFFFFFFFFFFFFFFFFFFFFFFFF"&amp;"FFFFFFFFFFFFFFFFFFFFF5701FFFFFFFFFFFFFFFFFFFFFFFFFFFFFFFFFFFFFFFFFFFFFFFFFFFFFFFFFFFFFFFFFFFFFFFFFFFFFFFFFFFFFFFFFFFFFFFFFFFFFFFFFFFFFFFFFFFFFFFFFFFF5801FFFFFFFFFFFFFFFFFFFFFFFFFFFFFFFFFFFFFFFFFFFFFFFFFFFFFFFFFFFFFFFFFFFFFFFFFFFFFFFFFFFFFFFFFFFFFFFFFFFFFF"&amp;"FFFFFFFFFFFFFFFFFFFFFF5901FFFFFFFFFFFFFFFFFFFFFFFFFFFFFFFFFFFFFFFFFFFFFFFFFFFFFFFFFFFFFFFFFFFFFFFFFFFFFFFFFFFFFFFFFFFFFFFFFFFFFFFFFFFFFFFFFFFFFFFFFFFF5A01FFFFFFFFFFFFFFFFFFFFFFFFFFFFFFFFFFFFFFFFFFFFFFFFFFFFFFFFFFFFFFFFFFFFFFFFFFFFFFFFFFFFFFFFFFFFFFFFFFFFF"&amp;"FFFFFFFFFFFFFFFFFFFFFFF5B01FFFFFFFFFFFF5C01FFFFFFFFFFFF5D01FFFFFFFFFFFF5E01FFFFFFFFFFFFFFFFFFFFFFFFFFFFFFFFFFFFFFFFFFFF5F01FFFFFFFFFFFF6001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FFFFFFFFFFFFFFFFFFFFFFFFFFFFFFFFFFFFFFFFFFFFFFFFFFFFFFFFFFFFFFFFFFFFF"&amp;"FFFFFFFFFFFFFFFFFFFFFFFFFFFFFFFFFFFFFFFFFFFFFFFFFFFFFFFFFFFFFFFFFFFFFFFFFFFFFFFFFFFFFFFFFFFFFFFFFFFFFFFFFFFFFFFFFFFFFFFFFFFFFFFFFFFFFFFFFFFFFFFFFFFFFFFFFFFFFFFFFFFFFFFFFFFFFFFFFFFFFFFFFF")</f>
        <v>4A00FFFFFFFFFFFFFFFFFFFFFFFFFFFFFFFFFFFFFFFFFFFFFFFFFFFFFFFFFFFF4B00FFFFFFFFFFFFFFFFFFFFFFFFFFFFFFFFFFFFFFFFFFFFFFFFFFFFFFFFFFFF4C004D004E004F00FFFFFFFFFFFFFFFFFFFFFFFFFFFFFFFFFFFFFFFFFFFFFFFF5000510052005300FFFFFFFFFFFFFFFFFFFFFFFFFFFFFFFFFFFFFFFFFFFFFFFF5400FFFFFFFFFFFFFFFFFFFFFFFFFFFFFFFFFFFFFFFFFFFFFFFFFFFFFFFFFFFF5500FFFFFFFFFFFFFFFFFFFFFFFFFFFFFFFFFFFFFFFFFFFFFFFFFFFFFFFFFFFF5600570058005900FFFFFFFFFFFFFFFFFFFFFFFFFFFFFFFFFFFFFFFFFFFFFFFF5A005B005C005D00FFFFFFFFFFFFFFFFFFFFFFFFFFFFFFFFFFFFFFFFFFFFFFFF5E00FFFFFFFFFFFFFFFFFFFFFFFFFFFFFFFFFFFFFFFFFFFFFFFFFFFFFFFFFFFFFFFFFFFFFFFFFFFFFFFFFFFFFFFFFFFFFFFFFFFFFFFFFFFFFFFFFFFFFFFFFFFF5F00FFFFFFFFFFFFFFFFFFFFFFFFFFFFFFFFFFFFFFFFFFFFFFFFFFFFFFFFFFFFFFFFFFFFFFFFFFFFFFFFFFFFFFFFFFFFFFFFFFFFFFFFFFFFFFFFFFFFFFFFFFFF6000FFFFFFFFFFFFFFFFFFFFFFFFFFFFFFFFFFFFFFFFFFFFFFFFFFFFFFFFFFFF6100FFFFFFFFFFFFFFFFFFFFFFFFFFFFFFFFFFFFFFFFFFFFFFFFFFFFFFFFFFFF6200FFFFFFFFFFFFFFFFFFFFFFFFFFFFFFFFFFFFFFFFFFFFFFFFFFFFFFFFFFFFFFFFFFFFFFFFFFFFFFFFFFFFFFFFFFFFFFFFFFFFFFFFFFFFFFFFFFFFFFFFFFFF6300FFFFFFFFFFFFFFFFFFFFFFFFFFFFFFFFFFFFFFFFFFFFFFFFFFFFFFFFFFFF6400FFFFFFFFFFFFFFFFFFFFFFFFFFFFFFFFFFFFFFFFFFFFFFFFFFFFFFFFFFFF6500FFFFFFFFFFFFFFFFFFFFFFFFFFFFFFFFFFFFFFFFFFFFFFFFFFFFFFFFFFFFFFFFFFFFFFFFFFFFFFFFFFFFFFFFFFFFFFFFFFFFFFFFFFFFFFFFFFFFFFFFFFFF6600FFFFFFFFFFFFFFFFFFFFFFFFFFFFFFFFFFFFFFFFFFFFFFFFFFFFFFFFFFFFFFFFFFFFFFFFFFFFFFFFFFFFFFFFFFFFFFFFFFFFFFFFFFFFFFFFFFFFFFFFFFFF6700FFFFFFFFFFFFFFFFFFFFFFFFFFFF6800FFFFFFFFFFFFFFFFFFFFFFFFFFFFFFFFFFFFFFFFFFFFFFFFFFFFFFFFFFFFFFFFFFFFFFFFFFFFFFFFFFFFFFFFFFFF6900FFFFFFFFFFFFFFFFFFFFFFFFFFFF6A00FFFFFFFFFFFFFFFFFFFFFFFFFFFFFFFFFFFFFFFFFFFFFFFFFFFFFFFFFFFFFFFFFFFFFFFFFFFFFFFFFFFFFFFFFFFF6B00FFFFFFFFFFFFFFFFFFFFFFFFFFFF6C00FFFFFFFFFFFFFFFFFFFFFFFFFFFFFFFFFFFFFFFFFFFFFFFFFFFFFFFFFFFFFFFFFFFFFFFFFFFFFFFFFFFFFFFFFFFF6D00FFFFFFFFFFFFFFFFFFFFFFFFFFFF6E00FFFFFFFFFFFFFFFFFFFFFFFFFFFFFFFFFFFFFFFFFFFFFFFFFFFFFFFFFFFFFFFFFFFFFFFFFFFFFFFFFFFFFFFFFFFF6F00FFFFFFFFFFFFFFFFFFFFFFFFFFFF7000FFFFFFFFFFFFFFFFFFFFFFFFFFFFFFFFFFFFFFFFFFFFFFFFFFFFFFFFFFFFFFFFFFFFFFFFFFFFFFFFFFFFFFFFFFFF6200FFFFFFFFFFFFFFFFFFFFFFFFFFFFFFFFFFFFFFFFFFFFFFFFFFFFFFFFFFFFFFFFFFFFFFFFFFFFFFFFFFFFFFFFFFFFFFFFFFFFFFFFFFFFFFFFFFFFFFFFFFFF7100FFFFFFFFFFFFFFFFFFFFFFFFFFFF7200FFFFFFFFFFFFFFFFFFFFFFFFFFFFFFFFFFFFFFFFFFFFFFFFFFFFFFFFFFFFFFFFFFFFFFFFFFFFFFFFFFFFFFFFFFFF7300FFFFFFFFFFFFFFFFFFFFFFFFFFFF7400FFFFFFFFFFFFFFFFFFFFFFFFFFFF7500FFFFFFFFFFFFFFFFFFFFFFFFFFFFFFFFFFFFFFFFFFFFFFFFFFFFFFFFFFFF7600FFFFFFFFFFFFFFFFFFFFFFFFFFFFFFFFFFFFFFFFFFFFFFFFFFFFFFFFFFFF7700FFFFFFFFFFFFFFFFFFFFFFFFFFFFFFFFFFFFFFFFFFFFFFFFFFFFFFFFFFFF7800FFFFFFFFFFFFFFFFFFFFFFFFFFFFFFFFFFFFFFFFFFFFFFFFFFFFFFFFFFFFFFFFFFFFFFFFFFFFFFFFFFFFFFFFFFFFFFFFFFFFFFFFFFFFFFFFFFFFFFFFFFFF7900FFFFFFFFFFFF7A007B007C007D007E00FFFFFFFFFFFF7F008000810082008300FFFFFFFFFFFF84008500860087008800FFFFFFFFFFFF89008A008B008C008D00FFFFFFFFFFFF8E008F00900091009200FFFFFFFFFFFF93009400950096009700FFFFFFFFFFFF980099009A009B009C00FFFFFFFFFFFF9D009E009F00A000A100FFFFFFFFFFFFA200A300A400A500A600FFFFFFFFFFFFA700A800A900AA00AB00FFFFFFFFFFFFAC00AD00AE00AF00B000FFFFFFFFFFFFB100B200B300B400B500FFFFFFFFFFFFB600FFFFFFFFFFFFB700FFFFFFFFFFFFB800FFFFFFFFFFFFB900FFFFFFFFFFFFBA00FFFFFFFFFFFFBB00FFFFFFFFFFFFBC00FFFFFFFFFFFFBD00FFFFFFFFFFFFBE00BF00C000FFFFC100FFFFFFFFFFFFC200C300C400FFFFC500FFFFFFFFFFFFC600C700C800FFFFC900FFFFFFFFFFFFCA00CB00CC00FFFFCD00FFFFFFFFFFFFCE00CF00D000FFFFD100FFFFFFFFFFFFD200D300D400FFFFD500FFFFFFFFFFFFD600D700D800FFFFD900FFFFFFFFFFFFDA00DB00DC00FFFFDD00FFFFFFFFFFFFDE00DF00E000FFFFE100FFFFFFFFFFFFE200E300E400FFFFE500FFFFFFFFFFFFE600E700E800FFFFE900FFFFFFFFFFFFEA00EB00EC00FFFFED00FFFFFFFFFFFFEE00EF00F000FFFFF100FFFFFFFFFFFFF200F300F400FFFFF500FFFFFFFFFFFFF600F700F800FFFFF900FFFFFFFFFFFFFA00FB00FC00FFFFFD00FFFFFFFFFFFFFE00FF00000101010201FFFFFFFFFFFF03010401050106010701FFFFFFFFFFFF080109010A010B010C01FFFFFFFFFFFF0D010E010F0110011101FFFFFFFFFFFF12011301140115011601FFFFFFFFFFFF1701180119011A011B01FFFFFFFFFFFF1C011D011E011F012001FFFFFFFFFFFF21012201230124012501FFFFFFFFFFFF26012701280129012A01FFFFFFFFFFFF2B012C012D012E012F01FFFFFFFFFFFF30013101320133013401FFFFFFFFFFFF35013601370138013901FFFFFFFFFFFF3A013B01FFFFFFFF3C01FFFFFFFFFFFF3D013E01FFFFFFFF3F01FFFFFFFFFFFF40014101FFFFFFFF4201FFFFFFFFFFFF43014401FFFFFFFF4501FFFFFFFFFFFF46014701FFFFFFFF4801FFFFFFFFFFFF49014A01FFFFFFFF4B01FFFFFFFFFFFF4B014C01FFFFFFFF4D01FFFFFFFFFFFF4D014E01FFFFFFFF4F01FFFFFFFFFFFFFFFFFFFFFFFFFFFFFFFFFFFFFFFFFFFFFFFFFFFFFFFFFFFFFFFFFFFFFFFFFFFFFFFFFFFFFFFFFFFFFFFFFFFFFFFFFFFFFFFFFFFFFFFFFFFF4F01FFFFFFFFFFFFFFFFFFFFFFFFFFFFFFFFFFFFFFFFFFFFFFFFFFFFFFFFFFFFFFFFFFFFFFFFFFFFFFFFFFFFFFFFFFFFFFFFFFFFFFFFFFFFFFFFFFFFFFFFFFFF4F01FFFFFFFFFFFFFFFFFFFFFFFFFFFFFFFFFFFFFFFFFFFFFFFFFFFFFFFFFFFFFFFFFFFFFFFFFFFFFFFFFFFFFFFFFFFFFFFFFFFFFFFFFFFFFFFFFFFFFFFFFFFF5001FFFFFFFFFFFFFFFFFFFFFFFFFFFF5101FFFFFFFFFFFFFFFFFFFFFFFFFFFF5201FFFFFFFFFFFFFFFFFFFFFFFFFFFFFFFFFFFFFFFFFFFFFFFFFFFFFFFFFFFF5301FFFFFFFFFFFFFFFFFFFFFFFFFFFFFFFFFFFFFFFFFFFFFFFFFFFFFFFFFFFFFFFFFFFFFFFFFFFFFFFFFFFFFFFFFFFFFFFFFFFFFFFFFFFFFFFFFFFFFFFFFFFF5401FFFFFFFFFFFFFFFFFFFFFFFFFFFFFFFFFFFFFFFFFFFFFFFFFFFFFFFFFFFFFFFFFFFFFFFFFFFFFFFFFFFFFFFFFFFFFFFFFFFFFFFFFFFFFFFFFFFFFFFFFFFF5501FFFFFFFFFFFFFFFFFFFFFFFFFFFFFFFFFFFFFFFFFFFFFFFFFFFFFFFFFFFFFFFFFFFFFFFFFFFFFFFFFFFFFFFFFFFFFFFFFFFFFFFFFFFFFFFFFFFFFFFFFFFF5601FFFFFFFFFFFFFFFFFFFFFFFFFFFFFFFFFFFFFFFFFFFFFFFFFFFFFFFFFFFFFFFFFFFFFFFFFFFFFFFFFFFFFFFFFFFFFFFFFFFFFFFFFFFFFFFFFFFFFFFFFFFF5701FFFFFFFFFFFFFFFFFFFFFFFFFFFFFFFFFFFFFFFFFFFFFFFFFFFFFFFFFFFFFFFFFFFFFFFFFFFFFFFFFFFFFFFFFFFFFFFFFFFFFFFFFFFFFFFFFFFFFFFFFFFF5801FFFFFFFFFFFFFFFFFFFFFFFFFFFFFFFFFFFFFFFFFFFFFFFFFFFFFFFFFFFFFFFFFFFFFFFFFFFFFFFFFFFFFFFFFFFFFFFFFFFFFFFFFFFFFFFFFFFFFFFFFFFF5901FFFFFFFFFFFFFFFFFFFFFFFFFFFFFFFFFFFFFFFFFFFFFFFFFFFFFFFFFFFFFFFFFFFFFFFFFFFFFFFFFFFFFFFFFFFFFFFFFFFFFFFFFFFFFFFFFFFFFFFFFFFF5A01FFFFFFFFFFFFFFFFFFFFFFFFFFFFFFFFFFFFFFFFFFFFFFFFFFFFFFFFFFFFFFFFFFFFFFFFFFFFFFFFFFFFFFFFFFFFFFFFFFFFFFFFFFFFFFFFFFFFFFFFFFFF5B01FFFFFFFFFFFF5C01FFFFFFFFFFFF5D01FFFFFFFFFFFF5E01FFFFFFFFFFFFFFFFFFFFFFFFFFFFFFFFFFFFFFFFFFFF5F01FFFFFFFFFFFF6001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</v>
      </c>
      <c r="S4" s="3"/>
      <c r="T4" s="3"/>
      <c r="U4" s="3"/>
      <c r="V4" s="3"/>
      <c r="W4" s="3"/>
      <c r="X4" s="3"/>
      <c r="Y4" s="3"/>
      <c r="Z4" s="3"/>
      <c r="AA4" s="3"/>
      <c r="AB4" s="4"/>
    </row>
    <row r="5">
      <c r="B5" s="6"/>
      <c r="C5" s="7"/>
      <c r="M5" s="8"/>
      <c r="P5" s="7"/>
      <c r="Q5" s="8"/>
      <c r="R5" s="7"/>
      <c r="AB5" s="8"/>
    </row>
    <row r="6">
      <c r="B6" s="9"/>
      <c r="C6" s="7"/>
      <c r="M6" s="8"/>
      <c r="P6" s="10"/>
      <c r="Q6" s="11"/>
      <c r="R6" s="7"/>
      <c r="AB6" s="8"/>
    </row>
    <row r="7">
      <c r="C7" s="7"/>
      <c r="M7" s="8"/>
      <c r="R7" s="7"/>
      <c r="AB7" s="8"/>
    </row>
    <row r="8">
      <c r="C8" s="7"/>
      <c r="M8" s="8"/>
      <c r="R8" s="7"/>
      <c r="AB8" s="8"/>
    </row>
    <row r="9">
      <c r="C9" s="7"/>
      <c r="M9" s="8"/>
      <c r="R9" s="7"/>
      <c r="AB9" s="8"/>
    </row>
    <row r="10">
      <c r="C10" s="7"/>
      <c r="M10" s="8"/>
      <c r="R10" s="7"/>
      <c r="AB10" s="8"/>
    </row>
    <row r="11">
      <c r="C11" s="7"/>
      <c r="M11" s="8"/>
      <c r="R11" s="7"/>
      <c r="AB11" s="8"/>
    </row>
    <row r="12">
      <c r="C12" s="7"/>
      <c r="M12" s="8"/>
      <c r="R12" s="7"/>
      <c r="AB12" s="8"/>
    </row>
    <row r="13">
      <c r="C13" s="7"/>
      <c r="M13" s="8"/>
      <c r="R13" s="7"/>
      <c r="AB13" s="8"/>
    </row>
    <row r="14">
      <c r="C14" s="7"/>
      <c r="M14" s="8"/>
      <c r="R14" s="7"/>
      <c r="AB14" s="8"/>
    </row>
    <row r="15">
      <c r="C15" s="7"/>
      <c r="M15" s="8"/>
      <c r="R15" s="7"/>
      <c r="AB15" s="8"/>
    </row>
    <row r="16">
      <c r="C16" s="7"/>
      <c r="M16" s="8"/>
      <c r="R16" s="7"/>
      <c r="AB16" s="8"/>
    </row>
    <row r="17">
      <c r="C17" s="7"/>
      <c r="M17" s="8"/>
      <c r="R17" s="7"/>
      <c r="AB17" s="8"/>
    </row>
    <row r="18">
      <c r="C18" s="7"/>
      <c r="M18" s="8"/>
      <c r="R18" s="7"/>
      <c r="AB18" s="8"/>
    </row>
    <row r="19">
      <c r="C19" s="7"/>
      <c r="M19" s="8"/>
      <c r="R19" s="7"/>
      <c r="AB19" s="8"/>
    </row>
    <row r="20">
      <c r="C20" s="7"/>
      <c r="M20" s="8"/>
      <c r="R20" s="7"/>
      <c r="AB20" s="8"/>
    </row>
    <row r="21">
      <c r="C21" s="7"/>
      <c r="M21" s="8"/>
      <c r="R21" s="7"/>
      <c r="AB21" s="8"/>
    </row>
    <row r="22">
      <c r="C22" s="7"/>
      <c r="M22" s="8"/>
      <c r="R22" s="7"/>
      <c r="AB22" s="8"/>
    </row>
    <row r="23">
      <c r="C23" s="7"/>
      <c r="M23" s="8"/>
      <c r="R23" s="7"/>
      <c r="AB23" s="8"/>
    </row>
    <row r="24">
      <c r="C24" s="7"/>
      <c r="M24" s="8"/>
      <c r="R24" s="7"/>
      <c r="AB24" s="8"/>
    </row>
    <row r="25">
      <c r="C25" s="7"/>
      <c r="M25" s="8"/>
      <c r="R25" s="7"/>
      <c r="AB25" s="8"/>
    </row>
    <row r="26">
      <c r="C26" s="7"/>
      <c r="M26" s="8"/>
      <c r="R26" s="7"/>
      <c r="AB26" s="8"/>
    </row>
    <row r="27">
      <c r="C27" s="7"/>
      <c r="M27" s="8"/>
      <c r="R27" s="7"/>
      <c r="AB27" s="8"/>
    </row>
    <row r="28">
      <c r="C28" s="7"/>
      <c r="M28" s="8"/>
      <c r="R28" s="7"/>
      <c r="AB28" s="8"/>
    </row>
    <row r="29">
      <c r="C29" s="7"/>
      <c r="M29" s="8"/>
      <c r="R29" s="7"/>
      <c r="AB29" s="8"/>
    </row>
    <row r="30">
      <c r="C30" s="7"/>
      <c r="M30" s="8"/>
      <c r="R30" s="7"/>
      <c r="AB30" s="8"/>
    </row>
    <row r="31">
      <c r="C31" s="7"/>
      <c r="M31" s="8"/>
      <c r="R31" s="7"/>
      <c r="AB31" s="8"/>
    </row>
    <row r="32">
      <c r="C32" s="7"/>
      <c r="M32" s="8"/>
      <c r="R32" s="7"/>
      <c r="AB32" s="8"/>
    </row>
    <row r="33">
      <c r="C33" s="7"/>
      <c r="M33" s="8"/>
      <c r="R33" s="7"/>
      <c r="AB33" s="8"/>
    </row>
    <row r="34">
      <c r="C34" s="10"/>
      <c r="D34" s="12"/>
      <c r="E34" s="12"/>
      <c r="F34" s="12"/>
      <c r="G34" s="12"/>
      <c r="H34" s="12"/>
      <c r="I34" s="12"/>
      <c r="J34" s="12"/>
      <c r="K34" s="12"/>
      <c r="L34" s="12"/>
      <c r="M34" s="11"/>
      <c r="R34" s="10"/>
      <c r="S34" s="12"/>
      <c r="T34" s="12"/>
      <c r="U34" s="12"/>
      <c r="V34" s="12"/>
      <c r="W34" s="12"/>
      <c r="X34" s="12"/>
      <c r="Y34" s="12"/>
      <c r="Z34" s="12"/>
      <c r="AA34" s="12"/>
      <c r="AB34" s="11"/>
    </row>
    <row r="38">
      <c r="B38" s="13" t="s">
        <v>3</v>
      </c>
      <c r="C38" s="42" t="s">
        <v>4</v>
      </c>
      <c r="D38" s="16" t="s">
        <v>128</v>
      </c>
      <c r="E38" s="3"/>
      <c r="F38" s="3"/>
      <c r="G38" s="3"/>
      <c r="H38" s="3"/>
      <c r="I38" s="3"/>
      <c r="J38" s="3"/>
      <c r="K38" s="3"/>
      <c r="L38" s="16" t="s">
        <v>129</v>
      </c>
      <c r="M38" s="3"/>
      <c r="N38" s="3"/>
      <c r="O38" s="3"/>
      <c r="P38" s="3"/>
      <c r="Q38" s="3"/>
      <c r="R38" s="3"/>
      <c r="S38" s="3"/>
      <c r="T38" s="16" t="s">
        <v>130</v>
      </c>
      <c r="U38" s="3"/>
      <c r="V38" s="3"/>
      <c r="W38" s="3"/>
      <c r="X38" s="3"/>
      <c r="Y38" s="3"/>
      <c r="Z38" s="3"/>
      <c r="AA38" s="17"/>
      <c r="AB38" s="15" t="s">
        <v>129</v>
      </c>
      <c r="AC38" s="3"/>
      <c r="AD38" s="3"/>
      <c r="AE38" s="3"/>
      <c r="AF38" s="3"/>
      <c r="AG38" s="3"/>
      <c r="AH38" s="3"/>
      <c r="AI38" s="4"/>
    </row>
    <row r="39">
      <c r="A39" s="18"/>
      <c r="B39" s="10"/>
      <c r="C39" s="43"/>
      <c r="D39" s="21" t="s">
        <v>131</v>
      </c>
      <c r="E39" s="20" t="s">
        <v>132</v>
      </c>
      <c r="F39" s="20" t="s">
        <v>133</v>
      </c>
      <c r="G39" s="20" t="s">
        <v>134</v>
      </c>
      <c r="H39" s="20"/>
      <c r="I39" s="20"/>
      <c r="J39" s="20"/>
      <c r="K39" s="20"/>
      <c r="L39" s="21"/>
      <c r="M39" s="20"/>
      <c r="N39" s="20"/>
      <c r="O39" s="20"/>
      <c r="P39" s="20"/>
      <c r="Q39" s="20"/>
      <c r="R39" s="20"/>
      <c r="S39" s="20"/>
      <c r="T39" s="21" t="s">
        <v>131</v>
      </c>
      <c r="U39" s="20" t="s">
        <v>132</v>
      </c>
      <c r="V39" s="20" t="s">
        <v>133</v>
      </c>
      <c r="W39" s="20" t="s">
        <v>134</v>
      </c>
      <c r="X39" s="20"/>
      <c r="Y39" s="20"/>
      <c r="Z39" s="20"/>
      <c r="AA39" s="22"/>
      <c r="AB39" s="20"/>
      <c r="AC39" s="20"/>
      <c r="AD39" s="20"/>
      <c r="AE39" s="20"/>
      <c r="AF39" s="20"/>
      <c r="AG39" s="20"/>
      <c r="AH39" s="20"/>
      <c r="AI39" s="44"/>
      <c r="AJ39" s="23"/>
    </row>
    <row r="40">
      <c r="B40" s="24">
        <v>0.0</v>
      </c>
      <c r="C40" s="25" t="s">
        <v>11</v>
      </c>
      <c r="D40" s="26">
        <v>74.0</v>
      </c>
      <c r="K40" s="29"/>
      <c r="S40" s="29"/>
      <c r="T40" s="26">
        <v>75.0</v>
      </c>
      <c r="AA40" s="29"/>
      <c r="AI40" s="45"/>
    </row>
    <row r="41">
      <c r="B41" s="24">
        <v>1.0</v>
      </c>
      <c r="C41" s="25" t="s">
        <v>135</v>
      </c>
      <c r="D41" s="26">
        <v>76.0</v>
      </c>
      <c r="E41" s="26">
        <v>77.0</v>
      </c>
      <c r="F41" s="26">
        <v>78.0</v>
      </c>
      <c r="G41" s="26">
        <v>79.0</v>
      </c>
      <c r="K41" s="25"/>
      <c r="S41" s="25"/>
      <c r="T41" s="26">
        <v>80.0</v>
      </c>
      <c r="U41" s="26">
        <v>81.0</v>
      </c>
      <c r="V41" s="26">
        <v>82.0</v>
      </c>
      <c r="W41" s="26">
        <v>83.0</v>
      </c>
      <c r="AA41" s="29"/>
      <c r="AI41" s="45"/>
    </row>
    <row r="42">
      <c r="B42" s="24">
        <v>2.0</v>
      </c>
      <c r="C42" s="25" t="s">
        <v>32</v>
      </c>
      <c r="D42" s="26">
        <v>84.0</v>
      </c>
      <c r="K42" s="29"/>
      <c r="S42" s="29"/>
      <c r="T42" s="26">
        <v>85.0</v>
      </c>
      <c r="AA42" s="29"/>
      <c r="AI42" s="45"/>
    </row>
    <row r="43">
      <c r="B43" s="24">
        <v>3.0</v>
      </c>
      <c r="C43" s="25" t="s">
        <v>136</v>
      </c>
      <c r="D43" s="26">
        <v>86.0</v>
      </c>
      <c r="E43" s="26">
        <v>87.0</v>
      </c>
      <c r="F43" s="26">
        <v>88.0</v>
      </c>
      <c r="G43" s="26">
        <v>89.0</v>
      </c>
      <c r="K43" s="29"/>
      <c r="S43" s="29"/>
      <c r="T43" s="26">
        <v>90.0</v>
      </c>
      <c r="U43" s="26">
        <v>91.0</v>
      </c>
      <c r="V43" s="26">
        <v>92.0</v>
      </c>
      <c r="W43" s="26">
        <v>93.0</v>
      </c>
      <c r="AA43" s="29"/>
      <c r="AI43" s="45"/>
    </row>
    <row r="44">
      <c r="B44" s="24">
        <v>4.0</v>
      </c>
      <c r="C44" s="25" t="s">
        <v>21</v>
      </c>
      <c r="D44" s="26">
        <v>94.0</v>
      </c>
      <c r="K44" s="29"/>
      <c r="S44" s="29"/>
      <c r="AA44" s="29"/>
      <c r="AI44" s="45"/>
    </row>
    <row r="45">
      <c r="B45" s="24">
        <v>5.0</v>
      </c>
      <c r="C45" s="25" t="s">
        <v>34</v>
      </c>
      <c r="D45" s="26">
        <v>95.0</v>
      </c>
      <c r="K45" s="29"/>
      <c r="S45" s="29"/>
      <c r="AA45" s="29"/>
      <c r="AI45" s="45"/>
    </row>
    <row r="46">
      <c r="B46" s="24">
        <v>6.0</v>
      </c>
      <c r="C46" s="25" t="s">
        <v>35</v>
      </c>
      <c r="D46" s="26">
        <v>96.0</v>
      </c>
      <c r="K46" s="25"/>
      <c r="S46" s="25"/>
      <c r="T46" s="26">
        <v>97.0</v>
      </c>
      <c r="AA46" s="29"/>
      <c r="AI46" s="45"/>
    </row>
    <row r="47">
      <c r="B47" s="24">
        <v>7.0</v>
      </c>
      <c r="C47" s="25" t="s">
        <v>36</v>
      </c>
      <c r="D47" s="26">
        <v>98.0</v>
      </c>
      <c r="K47" s="25"/>
      <c r="S47" s="25"/>
      <c r="AA47" s="29"/>
      <c r="AI47" s="45"/>
    </row>
    <row r="48">
      <c r="B48" s="24">
        <v>8.0</v>
      </c>
      <c r="C48" s="25" t="s">
        <v>37</v>
      </c>
      <c r="D48" s="26">
        <v>99.0</v>
      </c>
      <c r="K48" s="29"/>
      <c r="S48" s="29"/>
      <c r="T48" s="26">
        <v>100.0</v>
      </c>
      <c r="AA48" s="29"/>
      <c r="AI48" s="45"/>
    </row>
    <row r="49">
      <c r="B49" s="24">
        <v>9.0</v>
      </c>
      <c r="C49" s="25" t="s">
        <v>38</v>
      </c>
      <c r="D49" s="26">
        <v>101.0</v>
      </c>
      <c r="K49" s="29"/>
      <c r="S49" s="29"/>
      <c r="AA49" s="29"/>
      <c r="AI49" s="45"/>
    </row>
    <row r="50">
      <c r="B50" s="24">
        <v>10.0</v>
      </c>
      <c r="C50" s="25" t="s">
        <v>19</v>
      </c>
      <c r="D50" s="26">
        <v>102.0</v>
      </c>
      <c r="K50" s="29"/>
      <c r="S50" s="29"/>
      <c r="AA50" s="29"/>
      <c r="AI50" s="45"/>
    </row>
    <row r="51">
      <c r="B51" s="24">
        <v>11.0</v>
      </c>
      <c r="C51" s="25" t="s">
        <v>137</v>
      </c>
      <c r="D51" s="26">
        <v>103.0</v>
      </c>
      <c r="K51" s="29"/>
      <c r="L51" s="26">
        <v>104.0</v>
      </c>
      <c r="S51" s="29"/>
      <c r="AA51" s="29"/>
      <c r="AI51" s="45"/>
    </row>
    <row r="52">
      <c r="B52" s="24">
        <v>12.0</v>
      </c>
      <c r="C52" s="25" t="s">
        <v>138</v>
      </c>
      <c r="D52" s="26">
        <v>105.0</v>
      </c>
      <c r="K52" s="29"/>
      <c r="L52" s="26">
        <v>106.0</v>
      </c>
      <c r="S52" s="29"/>
      <c r="AA52" s="29"/>
      <c r="AI52" s="45"/>
    </row>
    <row r="53">
      <c r="B53" s="24">
        <v>13.0</v>
      </c>
      <c r="C53" s="25" t="s">
        <v>139</v>
      </c>
      <c r="D53" s="26">
        <v>107.0</v>
      </c>
      <c r="K53" s="29"/>
      <c r="L53" s="26">
        <v>108.0</v>
      </c>
      <c r="S53" s="29"/>
      <c r="AA53" s="29"/>
      <c r="AI53" s="45"/>
    </row>
    <row r="54">
      <c r="B54" s="24">
        <v>14.0</v>
      </c>
      <c r="C54" s="25" t="s">
        <v>140</v>
      </c>
      <c r="D54" s="26">
        <v>109.0</v>
      </c>
      <c r="K54" s="29"/>
      <c r="L54" s="26">
        <v>110.0</v>
      </c>
      <c r="S54" s="29"/>
      <c r="AA54" s="29"/>
      <c r="AI54" s="45"/>
    </row>
    <row r="55">
      <c r="B55" s="24">
        <v>15.0</v>
      </c>
      <c r="C55" s="25" t="s">
        <v>141</v>
      </c>
      <c r="D55" s="26">
        <v>111.0</v>
      </c>
      <c r="K55" s="29"/>
      <c r="L55" s="26">
        <v>112.0</v>
      </c>
      <c r="S55" s="29"/>
      <c r="AA55" s="29"/>
      <c r="AI55" s="45"/>
    </row>
    <row r="56">
      <c r="B56" s="24">
        <v>16.0</v>
      </c>
      <c r="C56" s="25" t="s">
        <v>45</v>
      </c>
      <c r="D56" s="26">
        <v>98.0</v>
      </c>
      <c r="K56" s="29"/>
      <c r="S56" s="29"/>
      <c r="AA56" s="29"/>
      <c r="AI56" s="45"/>
    </row>
    <row r="57">
      <c r="B57" s="24">
        <v>17.0</v>
      </c>
      <c r="C57" s="25" t="s">
        <v>27</v>
      </c>
      <c r="D57" s="26">
        <v>113.0</v>
      </c>
      <c r="K57" s="29"/>
      <c r="L57" s="26">
        <v>114.0</v>
      </c>
      <c r="S57" s="29"/>
      <c r="AA57" s="29"/>
      <c r="AI57" s="45"/>
    </row>
    <row r="58">
      <c r="B58" s="24">
        <v>18.0</v>
      </c>
      <c r="C58" s="25" t="s">
        <v>44</v>
      </c>
      <c r="D58" s="26">
        <v>115.0</v>
      </c>
      <c r="K58" s="29"/>
      <c r="L58" s="26">
        <v>116.0</v>
      </c>
      <c r="S58" s="29"/>
      <c r="T58" s="26">
        <v>117.0</v>
      </c>
      <c r="AA58" s="29"/>
      <c r="AI58" s="45"/>
    </row>
    <row r="59">
      <c r="B59" s="24">
        <v>19.0</v>
      </c>
      <c r="C59" s="25" t="s">
        <v>46</v>
      </c>
      <c r="D59" s="26">
        <v>118.0</v>
      </c>
      <c r="K59" s="29"/>
      <c r="S59" s="29"/>
      <c r="T59" s="26">
        <v>119.0</v>
      </c>
      <c r="AA59" s="29"/>
      <c r="AI59" s="45"/>
    </row>
    <row r="60">
      <c r="B60" s="24">
        <v>20.0</v>
      </c>
      <c r="C60" s="25" t="s">
        <v>129</v>
      </c>
      <c r="D60" s="26">
        <v>120.0</v>
      </c>
      <c r="K60" s="29"/>
      <c r="S60" s="29"/>
      <c r="AA60" s="29"/>
      <c r="AI60" s="45"/>
    </row>
    <row r="61">
      <c r="B61" s="24">
        <v>21.0</v>
      </c>
      <c r="C61" s="25" t="s">
        <v>129</v>
      </c>
      <c r="D61" s="26">
        <v>121.0</v>
      </c>
      <c r="H61" s="26">
        <v>122.0</v>
      </c>
      <c r="I61" s="26">
        <v>123.0</v>
      </c>
      <c r="J61" s="26">
        <v>124.0</v>
      </c>
      <c r="K61" s="25">
        <v>125.0</v>
      </c>
      <c r="L61" s="26">
        <v>126.0</v>
      </c>
      <c r="P61" s="26">
        <v>127.0</v>
      </c>
      <c r="Q61" s="26">
        <v>128.0</v>
      </c>
      <c r="R61" s="26">
        <v>129.0</v>
      </c>
      <c r="S61" s="25">
        <v>130.0</v>
      </c>
      <c r="T61" s="26">
        <v>131.0</v>
      </c>
      <c r="X61" s="26">
        <v>132.0</v>
      </c>
      <c r="Y61" s="26">
        <v>133.0</v>
      </c>
      <c r="Z61" s="26">
        <v>134.0</v>
      </c>
      <c r="AA61" s="25">
        <v>135.0</v>
      </c>
      <c r="AB61" s="26">
        <v>136.0</v>
      </c>
      <c r="AF61" s="26">
        <v>137.0</v>
      </c>
      <c r="AG61" s="26">
        <v>138.0</v>
      </c>
      <c r="AH61" s="26">
        <v>139.0</v>
      </c>
      <c r="AI61" s="27">
        <v>140.0</v>
      </c>
    </row>
    <row r="62">
      <c r="B62" s="24">
        <v>22.0</v>
      </c>
      <c r="C62" s="25" t="s">
        <v>129</v>
      </c>
      <c r="D62" s="26">
        <v>141.0</v>
      </c>
      <c r="H62" s="26">
        <v>142.0</v>
      </c>
      <c r="I62" s="26">
        <v>143.0</v>
      </c>
      <c r="J62" s="26">
        <v>144.0</v>
      </c>
      <c r="K62" s="25">
        <v>145.0</v>
      </c>
      <c r="L62" s="26">
        <v>146.0</v>
      </c>
      <c r="P62" s="26">
        <v>147.0</v>
      </c>
      <c r="Q62" s="26">
        <v>148.0</v>
      </c>
      <c r="R62" s="26">
        <v>149.0</v>
      </c>
      <c r="S62" s="25">
        <v>150.0</v>
      </c>
      <c r="T62" s="26">
        <v>151.0</v>
      </c>
      <c r="X62" s="26">
        <v>152.0</v>
      </c>
      <c r="Y62" s="26">
        <v>153.0</v>
      </c>
      <c r="Z62" s="26">
        <v>154.0</v>
      </c>
      <c r="AA62" s="25">
        <v>155.0</v>
      </c>
      <c r="AB62" s="26">
        <v>156.0</v>
      </c>
      <c r="AF62" s="26">
        <v>157.0</v>
      </c>
      <c r="AG62" s="26">
        <v>158.0</v>
      </c>
      <c r="AH62" s="26">
        <v>159.0</v>
      </c>
      <c r="AI62" s="27">
        <v>160.0</v>
      </c>
    </row>
    <row r="63">
      <c r="B63" s="24">
        <v>23.0</v>
      </c>
      <c r="C63" s="25" t="s">
        <v>129</v>
      </c>
      <c r="D63" s="26">
        <v>161.0</v>
      </c>
      <c r="H63" s="26">
        <v>162.0</v>
      </c>
      <c r="I63" s="26">
        <v>163.0</v>
      </c>
      <c r="J63" s="26">
        <v>164.0</v>
      </c>
      <c r="K63" s="25">
        <v>165.0</v>
      </c>
      <c r="L63" s="26">
        <v>166.0</v>
      </c>
      <c r="P63" s="26">
        <v>167.0</v>
      </c>
      <c r="Q63" s="26">
        <v>168.0</v>
      </c>
      <c r="R63" s="26">
        <v>169.0</v>
      </c>
      <c r="S63" s="25">
        <v>170.0</v>
      </c>
      <c r="T63" s="26">
        <v>171.0</v>
      </c>
      <c r="X63" s="26">
        <v>172.0</v>
      </c>
      <c r="Y63" s="26">
        <v>173.0</v>
      </c>
      <c r="Z63" s="26">
        <v>174.0</v>
      </c>
      <c r="AA63" s="25">
        <v>175.0</v>
      </c>
      <c r="AB63" s="26">
        <v>176.0</v>
      </c>
      <c r="AF63" s="26">
        <v>177.0</v>
      </c>
      <c r="AG63" s="26">
        <v>178.0</v>
      </c>
      <c r="AH63" s="26">
        <v>179.0</v>
      </c>
      <c r="AI63" s="27">
        <v>180.0</v>
      </c>
    </row>
    <row r="64">
      <c r="B64" s="24">
        <v>24.0</v>
      </c>
      <c r="C64" s="25" t="s">
        <v>129</v>
      </c>
      <c r="D64" s="26">
        <v>181.0</v>
      </c>
      <c r="H64" s="26">
        <v>182.0</v>
      </c>
      <c r="K64" s="29"/>
      <c r="L64" s="26">
        <v>183.0</v>
      </c>
      <c r="P64" s="26">
        <v>184.0</v>
      </c>
      <c r="S64" s="29"/>
      <c r="T64" s="26">
        <v>185.0</v>
      </c>
      <c r="X64" s="26">
        <v>186.0</v>
      </c>
      <c r="AA64" s="29"/>
      <c r="AB64" s="26">
        <v>187.0</v>
      </c>
      <c r="AF64" s="26">
        <v>188.0</v>
      </c>
      <c r="AI64" s="45"/>
    </row>
    <row r="65">
      <c r="B65" s="24">
        <v>25.0</v>
      </c>
      <c r="C65" s="25" t="s">
        <v>129</v>
      </c>
      <c r="D65" s="26">
        <v>189.0</v>
      </c>
      <c r="H65" s="26">
        <v>190.0</v>
      </c>
      <c r="I65" s="26">
        <v>191.0</v>
      </c>
      <c r="J65" s="26">
        <v>192.0</v>
      </c>
      <c r="K65" s="29"/>
      <c r="L65" s="26">
        <v>193.0</v>
      </c>
      <c r="P65" s="26">
        <v>194.0</v>
      </c>
      <c r="Q65" s="26">
        <v>195.0</v>
      </c>
      <c r="R65" s="26">
        <v>196.0</v>
      </c>
      <c r="S65" s="29"/>
      <c r="T65" s="26">
        <v>197.0</v>
      </c>
      <c r="X65" s="26">
        <v>198.0</v>
      </c>
      <c r="Y65" s="26">
        <v>199.0</v>
      </c>
      <c r="Z65" s="26">
        <v>200.0</v>
      </c>
      <c r="AA65" s="29"/>
      <c r="AB65" s="26">
        <v>201.0</v>
      </c>
      <c r="AF65" s="26">
        <v>202.0</v>
      </c>
      <c r="AG65" s="26">
        <v>203.0</v>
      </c>
      <c r="AH65" s="26">
        <v>204.0</v>
      </c>
      <c r="AI65" s="45"/>
    </row>
    <row r="66">
      <c r="B66" s="24">
        <v>26.0</v>
      </c>
      <c r="C66" s="25" t="s">
        <v>129</v>
      </c>
      <c r="D66" s="26">
        <v>205.0</v>
      </c>
      <c r="H66" s="26">
        <v>206.0</v>
      </c>
      <c r="I66" s="26">
        <v>207.0</v>
      </c>
      <c r="J66" s="26">
        <v>208.0</v>
      </c>
      <c r="K66" s="29"/>
      <c r="L66" s="26">
        <v>209.0</v>
      </c>
      <c r="P66" s="26">
        <v>210.0</v>
      </c>
      <c r="Q66" s="26">
        <v>211.0</v>
      </c>
      <c r="R66" s="26">
        <v>212.0</v>
      </c>
      <c r="S66" s="29"/>
      <c r="T66" s="26">
        <v>213.0</v>
      </c>
      <c r="X66" s="26">
        <v>214.0</v>
      </c>
      <c r="Y66" s="26">
        <v>215.0</v>
      </c>
      <c r="Z66" s="26">
        <v>216.0</v>
      </c>
      <c r="AA66" s="29"/>
      <c r="AB66" s="26">
        <v>217.0</v>
      </c>
      <c r="AF66" s="26">
        <v>218.0</v>
      </c>
      <c r="AG66" s="26">
        <v>219.0</v>
      </c>
      <c r="AH66" s="26">
        <v>220.0</v>
      </c>
      <c r="AI66" s="45"/>
    </row>
    <row r="67">
      <c r="B67" s="24">
        <v>27.0</v>
      </c>
      <c r="C67" s="25" t="s">
        <v>129</v>
      </c>
      <c r="D67" s="26">
        <v>221.0</v>
      </c>
      <c r="H67" s="26">
        <v>222.0</v>
      </c>
      <c r="I67" s="26">
        <v>223.0</v>
      </c>
      <c r="J67" s="26">
        <v>224.0</v>
      </c>
      <c r="K67" s="29"/>
      <c r="L67" s="26">
        <v>225.0</v>
      </c>
      <c r="P67" s="26">
        <v>226.0</v>
      </c>
      <c r="Q67" s="26">
        <v>227.0</v>
      </c>
      <c r="R67" s="26">
        <v>228.0</v>
      </c>
      <c r="S67" s="29"/>
      <c r="T67" s="26">
        <v>229.0</v>
      </c>
      <c r="X67" s="26">
        <v>230.0</v>
      </c>
      <c r="Y67" s="26">
        <v>231.0</v>
      </c>
      <c r="Z67" s="26">
        <v>232.0</v>
      </c>
      <c r="AA67" s="29"/>
      <c r="AB67" s="26">
        <v>233.0</v>
      </c>
      <c r="AF67" s="26">
        <v>234.0</v>
      </c>
      <c r="AG67" s="26">
        <v>235.0</v>
      </c>
      <c r="AH67" s="26">
        <v>236.0</v>
      </c>
      <c r="AI67" s="45"/>
    </row>
    <row r="68">
      <c r="B68" s="24">
        <v>28.0</v>
      </c>
      <c r="C68" s="25" t="s">
        <v>129</v>
      </c>
      <c r="D68" s="26">
        <v>237.0</v>
      </c>
      <c r="H68" s="26">
        <v>238.0</v>
      </c>
      <c r="I68" s="26">
        <v>239.0</v>
      </c>
      <c r="J68" s="26">
        <v>240.0</v>
      </c>
      <c r="K68" s="29"/>
      <c r="L68" s="26">
        <v>241.0</v>
      </c>
      <c r="P68" s="26">
        <v>242.0</v>
      </c>
      <c r="Q68" s="26">
        <v>243.0</v>
      </c>
      <c r="R68" s="26">
        <v>244.0</v>
      </c>
      <c r="S68" s="29"/>
      <c r="T68" s="26">
        <v>245.0</v>
      </c>
      <c r="X68" s="26">
        <v>246.0</v>
      </c>
      <c r="Y68" s="26">
        <v>247.0</v>
      </c>
      <c r="Z68" s="26">
        <v>248.0</v>
      </c>
      <c r="AA68" s="29"/>
      <c r="AB68" s="26">
        <v>249.0</v>
      </c>
      <c r="AF68" s="26">
        <v>250.0</v>
      </c>
      <c r="AG68" s="26">
        <v>251.0</v>
      </c>
      <c r="AH68" s="26">
        <v>252.0</v>
      </c>
      <c r="AI68" s="45"/>
    </row>
    <row r="69">
      <c r="B69" s="24">
        <v>29.0</v>
      </c>
      <c r="C69" s="25" t="s">
        <v>129</v>
      </c>
      <c r="D69" s="26">
        <v>253.0</v>
      </c>
      <c r="H69" s="26">
        <v>254.0</v>
      </c>
      <c r="I69" s="26">
        <v>255.0</v>
      </c>
      <c r="J69" s="26">
        <v>256.0</v>
      </c>
      <c r="K69" s="25">
        <v>257.0</v>
      </c>
      <c r="L69" s="26">
        <v>258.0</v>
      </c>
      <c r="P69" s="26">
        <v>259.0</v>
      </c>
      <c r="Q69" s="26">
        <v>260.0</v>
      </c>
      <c r="R69" s="26">
        <v>261.0</v>
      </c>
      <c r="S69" s="25">
        <v>262.0</v>
      </c>
      <c r="T69" s="26">
        <v>263.0</v>
      </c>
      <c r="X69" s="26">
        <v>264.0</v>
      </c>
      <c r="Y69" s="26">
        <v>265.0</v>
      </c>
      <c r="Z69" s="26">
        <v>266.0</v>
      </c>
      <c r="AA69" s="25">
        <v>267.0</v>
      </c>
      <c r="AB69" s="26">
        <v>268.0</v>
      </c>
      <c r="AF69" s="26">
        <v>269.0</v>
      </c>
      <c r="AG69" s="26">
        <v>270.0</v>
      </c>
      <c r="AH69" s="26">
        <v>271.0</v>
      </c>
      <c r="AI69" s="27">
        <v>272.0</v>
      </c>
    </row>
    <row r="70">
      <c r="B70" s="24">
        <v>30.0</v>
      </c>
      <c r="C70" s="25" t="s">
        <v>129</v>
      </c>
      <c r="D70" s="26">
        <v>273.0</v>
      </c>
      <c r="H70" s="26">
        <v>274.0</v>
      </c>
      <c r="I70" s="26">
        <v>275.0</v>
      </c>
      <c r="J70" s="26">
        <v>276.0</v>
      </c>
      <c r="K70" s="25">
        <v>277.0</v>
      </c>
      <c r="L70" s="26">
        <v>278.0</v>
      </c>
      <c r="P70" s="26">
        <v>279.0</v>
      </c>
      <c r="Q70" s="26">
        <v>280.0</v>
      </c>
      <c r="R70" s="26">
        <v>281.0</v>
      </c>
      <c r="S70" s="25">
        <v>282.0</v>
      </c>
      <c r="T70" s="26">
        <v>283.0</v>
      </c>
      <c r="X70" s="26">
        <v>284.0</v>
      </c>
      <c r="Y70" s="26">
        <v>285.0</v>
      </c>
      <c r="Z70" s="26">
        <v>286.0</v>
      </c>
      <c r="AA70" s="25">
        <v>287.0</v>
      </c>
      <c r="AB70" s="26">
        <v>288.0</v>
      </c>
      <c r="AF70" s="26">
        <v>289.0</v>
      </c>
      <c r="AG70" s="26">
        <v>290.0</v>
      </c>
      <c r="AH70" s="26">
        <v>291.0</v>
      </c>
      <c r="AI70" s="27">
        <v>292.0</v>
      </c>
    </row>
    <row r="71">
      <c r="B71" s="24">
        <v>31.0</v>
      </c>
      <c r="C71" s="25" t="s">
        <v>129</v>
      </c>
      <c r="D71" s="26">
        <v>293.0</v>
      </c>
      <c r="H71" s="26">
        <v>294.0</v>
      </c>
      <c r="I71" s="26">
        <v>295.0</v>
      </c>
      <c r="J71" s="26">
        <v>296.0</v>
      </c>
      <c r="K71" s="25">
        <v>297.0</v>
      </c>
      <c r="L71" s="26">
        <v>298.0</v>
      </c>
      <c r="P71" s="26">
        <v>299.0</v>
      </c>
      <c r="Q71" s="26">
        <v>300.0</v>
      </c>
      <c r="R71" s="26">
        <v>301.0</v>
      </c>
      <c r="S71" s="25">
        <v>302.0</v>
      </c>
      <c r="T71" s="26">
        <v>303.0</v>
      </c>
      <c r="X71" s="26">
        <v>304.0</v>
      </c>
      <c r="Y71" s="26">
        <v>305.0</v>
      </c>
      <c r="Z71" s="26">
        <v>306.0</v>
      </c>
      <c r="AA71" s="25">
        <v>307.0</v>
      </c>
      <c r="AB71" s="26">
        <v>308.0</v>
      </c>
      <c r="AF71" s="26">
        <v>309.0</v>
      </c>
      <c r="AG71" s="26">
        <v>310.0</v>
      </c>
      <c r="AH71" s="26">
        <v>311.0</v>
      </c>
      <c r="AI71" s="27">
        <v>312.0</v>
      </c>
    </row>
    <row r="72">
      <c r="B72" s="24">
        <v>32.0</v>
      </c>
      <c r="C72" s="25" t="s">
        <v>129</v>
      </c>
      <c r="D72" s="26">
        <v>313.0</v>
      </c>
      <c r="H72" s="26">
        <v>314.0</v>
      </c>
      <c r="I72" s="26">
        <v>315.0</v>
      </c>
      <c r="K72" s="29"/>
      <c r="L72" s="26">
        <v>316.0</v>
      </c>
      <c r="P72" s="26">
        <v>317.0</v>
      </c>
      <c r="Q72" s="26">
        <v>318.0</v>
      </c>
      <c r="S72" s="29"/>
      <c r="T72" s="26">
        <v>319.0</v>
      </c>
      <c r="X72" s="26">
        <v>320.0</v>
      </c>
      <c r="Y72" s="26">
        <v>321.0</v>
      </c>
      <c r="AA72" s="29"/>
      <c r="AB72" s="26">
        <v>322.0</v>
      </c>
      <c r="AF72" s="26">
        <v>323.0</v>
      </c>
      <c r="AG72" s="26">
        <v>324.0</v>
      </c>
      <c r="AI72" s="45"/>
    </row>
    <row r="73">
      <c r="B73" s="24">
        <v>33.0</v>
      </c>
      <c r="C73" s="25" t="s">
        <v>129</v>
      </c>
      <c r="D73" s="26">
        <v>325.0</v>
      </c>
      <c r="H73" s="26">
        <v>326.0</v>
      </c>
      <c r="I73" s="26">
        <v>327.0</v>
      </c>
      <c r="K73" s="29"/>
      <c r="L73" s="26">
        <v>328.0</v>
      </c>
      <c r="P73" s="26">
        <v>329.0</v>
      </c>
      <c r="Q73" s="26">
        <v>330.0</v>
      </c>
      <c r="S73" s="29"/>
      <c r="T73" s="26">
        <v>331.0</v>
      </c>
      <c r="X73" s="26">
        <v>331.0</v>
      </c>
      <c r="Y73" s="26">
        <v>332.0</v>
      </c>
      <c r="AA73" s="29"/>
      <c r="AB73" s="26">
        <v>333.0</v>
      </c>
      <c r="AF73" s="26">
        <v>333.0</v>
      </c>
      <c r="AG73" s="26">
        <v>334.0</v>
      </c>
      <c r="AI73" s="45"/>
    </row>
    <row r="74">
      <c r="B74" s="24">
        <v>34.0</v>
      </c>
      <c r="C74" s="25" t="s">
        <v>129</v>
      </c>
      <c r="D74" s="26">
        <v>335.0</v>
      </c>
      <c r="K74" s="29"/>
      <c r="S74" s="29"/>
      <c r="AA74" s="29"/>
      <c r="AI74" s="45"/>
    </row>
    <row r="75">
      <c r="B75" s="24">
        <v>35.0</v>
      </c>
      <c r="C75" s="25" t="s">
        <v>129</v>
      </c>
      <c r="D75" s="26">
        <v>335.0</v>
      </c>
      <c r="K75" s="29"/>
      <c r="S75" s="29"/>
      <c r="AA75" s="29"/>
      <c r="AI75" s="45"/>
    </row>
    <row r="76">
      <c r="B76" s="24">
        <v>36.0</v>
      </c>
      <c r="C76" s="25" t="s">
        <v>129</v>
      </c>
      <c r="D76" s="26">
        <v>335.0</v>
      </c>
      <c r="K76" s="25"/>
      <c r="S76" s="25"/>
      <c r="AA76" s="29"/>
      <c r="AI76" s="45"/>
    </row>
    <row r="77">
      <c r="B77" s="24">
        <v>37.0</v>
      </c>
      <c r="C77" s="25" t="s">
        <v>48</v>
      </c>
      <c r="D77" s="26">
        <v>336.0</v>
      </c>
      <c r="K77" s="29"/>
      <c r="L77" s="26">
        <v>337.0</v>
      </c>
      <c r="S77" s="29"/>
      <c r="T77" s="26">
        <v>338.0</v>
      </c>
      <c r="AA77" s="29"/>
      <c r="AI77" s="45"/>
    </row>
    <row r="78">
      <c r="B78" s="24">
        <v>38.0</v>
      </c>
      <c r="C78" s="25" t="s">
        <v>142</v>
      </c>
      <c r="D78" s="26">
        <v>339.0</v>
      </c>
      <c r="K78" s="29"/>
      <c r="S78" s="29"/>
      <c r="AA78" s="29"/>
      <c r="AI78" s="45"/>
    </row>
    <row r="79">
      <c r="B79" s="24">
        <v>39.0</v>
      </c>
      <c r="C79" s="25" t="s">
        <v>143</v>
      </c>
      <c r="D79" s="26">
        <v>340.0</v>
      </c>
      <c r="K79" s="29"/>
      <c r="S79" s="29"/>
      <c r="AA79" s="29"/>
      <c r="AI79" s="45"/>
    </row>
    <row r="80">
      <c r="B80" s="24">
        <v>40.0</v>
      </c>
      <c r="C80" s="25" t="s">
        <v>144</v>
      </c>
      <c r="D80" s="26">
        <v>341.0</v>
      </c>
      <c r="K80" s="29"/>
      <c r="S80" s="29"/>
      <c r="AA80" s="29"/>
      <c r="AI80" s="45"/>
    </row>
    <row r="81">
      <c r="B81" s="24">
        <v>41.0</v>
      </c>
      <c r="C81" s="25" t="s">
        <v>145</v>
      </c>
      <c r="D81" s="26">
        <v>342.0</v>
      </c>
      <c r="K81" s="25"/>
      <c r="S81" s="25"/>
      <c r="AA81" s="29"/>
      <c r="AI81" s="45"/>
    </row>
    <row r="82">
      <c r="B82" s="24">
        <v>42.0</v>
      </c>
      <c r="C82" s="25" t="s">
        <v>146</v>
      </c>
      <c r="D82" s="26">
        <v>343.0</v>
      </c>
      <c r="K82" s="25"/>
      <c r="S82" s="25"/>
      <c r="AA82" s="29"/>
      <c r="AI82" s="45"/>
    </row>
    <row r="83">
      <c r="B83" s="24">
        <v>43.0</v>
      </c>
      <c r="C83" s="25" t="s">
        <v>147</v>
      </c>
      <c r="D83" s="26">
        <v>344.0</v>
      </c>
      <c r="K83" s="29"/>
      <c r="S83" s="29"/>
      <c r="AA83" s="29"/>
      <c r="AI83" s="45"/>
    </row>
    <row r="84">
      <c r="B84" s="24">
        <v>44.0</v>
      </c>
      <c r="C84" s="25" t="s">
        <v>148</v>
      </c>
      <c r="D84" s="26">
        <v>345.0</v>
      </c>
      <c r="K84" s="29"/>
      <c r="S84" s="29"/>
      <c r="AA84" s="29"/>
      <c r="AI84" s="45"/>
    </row>
    <row r="85">
      <c r="B85" s="24">
        <v>45.0</v>
      </c>
      <c r="C85" s="25" t="s">
        <v>149</v>
      </c>
      <c r="D85" s="26">
        <v>346.0</v>
      </c>
      <c r="K85" s="29"/>
      <c r="S85" s="29"/>
      <c r="AA85" s="29"/>
      <c r="AI85" s="45"/>
    </row>
    <row r="86">
      <c r="B86" s="38">
        <v>46.0</v>
      </c>
      <c r="C86" s="39" t="s">
        <v>150</v>
      </c>
      <c r="D86" s="40">
        <v>347.0</v>
      </c>
      <c r="E86" s="46"/>
      <c r="F86" s="46"/>
      <c r="G86" s="46"/>
      <c r="H86" s="40">
        <v>348.0</v>
      </c>
      <c r="I86" s="46"/>
      <c r="J86" s="46"/>
      <c r="K86" s="47"/>
      <c r="L86" s="40">
        <v>349.0</v>
      </c>
      <c r="M86" s="46"/>
      <c r="N86" s="46"/>
      <c r="O86" s="46"/>
      <c r="P86" s="40">
        <v>350.0</v>
      </c>
      <c r="Q86" s="46"/>
      <c r="R86" s="46"/>
      <c r="S86" s="47"/>
      <c r="T86" s="46"/>
      <c r="U86" s="46"/>
      <c r="V86" s="46"/>
      <c r="W86" s="46"/>
      <c r="X86" s="46"/>
      <c r="Y86" s="46"/>
      <c r="Z86" s="46"/>
      <c r="AA86" s="47"/>
      <c r="AB86" s="40">
        <v>351.0</v>
      </c>
      <c r="AC86" s="46"/>
      <c r="AD86" s="46"/>
      <c r="AE86" s="46"/>
      <c r="AF86" s="40">
        <v>352.0</v>
      </c>
      <c r="AG86" s="46"/>
      <c r="AH86" s="46"/>
      <c r="AI86" s="48"/>
    </row>
    <row r="87">
      <c r="B87" s="24">
        <v>47.0</v>
      </c>
      <c r="C87" s="25" t="s">
        <v>49</v>
      </c>
      <c r="K87" s="25"/>
      <c r="S87" s="29"/>
      <c r="AA87" s="25"/>
      <c r="AI87" s="45"/>
    </row>
    <row r="88">
      <c r="B88" s="24">
        <v>48.0</v>
      </c>
      <c r="C88" s="25" t="s">
        <v>151</v>
      </c>
      <c r="K88" s="29"/>
      <c r="S88" s="29"/>
      <c r="AA88" s="29"/>
      <c r="AI88" s="45"/>
    </row>
    <row r="89">
      <c r="B89" s="24">
        <v>49.0</v>
      </c>
      <c r="C89" s="25" t="s">
        <v>152</v>
      </c>
      <c r="K89" s="29"/>
      <c r="S89" s="29"/>
      <c r="AA89" s="29"/>
      <c r="AI89" s="45"/>
    </row>
    <row r="90">
      <c r="B90" s="24">
        <v>50.0</v>
      </c>
      <c r="C90" s="25" t="s">
        <v>153</v>
      </c>
      <c r="K90" s="29"/>
      <c r="S90" s="29"/>
      <c r="AA90" s="29"/>
      <c r="AI90" s="45"/>
    </row>
    <row r="91">
      <c r="B91" s="24">
        <v>51.0</v>
      </c>
      <c r="C91" s="25" t="s">
        <v>154</v>
      </c>
      <c r="K91" s="29"/>
      <c r="S91" s="29"/>
      <c r="AA91" s="29"/>
      <c r="AI91" s="45"/>
    </row>
    <row r="92">
      <c r="B92" s="24">
        <v>52.0</v>
      </c>
      <c r="C92" s="25" t="s">
        <v>155</v>
      </c>
      <c r="K92" s="29"/>
      <c r="S92" s="29"/>
      <c r="AA92" s="29"/>
      <c r="AI92" s="45"/>
    </row>
    <row r="93">
      <c r="B93" s="24">
        <v>53.0</v>
      </c>
      <c r="C93" s="25" t="s">
        <v>156</v>
      </c>
      <c r="K93" s="29"/>
      <c r="S93" s="29"/>
      <c r="AA93" s="29"/>
      <c r="AI93" s="45"/>
    </row>
    <row r="94">
      <c r="B94" s="24">
        <v>54.0</v>
      </c>
      <c r="C94" s="25" t="s">
        <v>53</v>
      </c>
      <c r="K94" s="29"/>
      <c r="S94" s="29"/>
      <c r="AA94" s="29"/>
      <c r="AI94" s="45"/>
    </row>
    <row r="95">
      <c r="B95" s="24">
        <v>55.0</v>
      </c>
      <c r="C95" s="25" t="s">
        <v>157</v>
      </c>
      <c r="K95" s="29"/>
      <c r="S95" s="29"/>
      <c r="AA95" s="29"/>
      <c r="AI95" s="45"/>
    </row>
    <row r="96">
      <c r="B96" s="24">
        <v>56.0</v>
      </c>
      <c r="C96" s="25" t="s">
        <v>55</v>
      </c>
      <c r="K96" s="29"/>
      <c r="S96" s="29"/>
      <c r="AA96" s="29"/>
      <c r="AI96" s="45"/>
    </row>
    <row r="97">
      <c r="B97" s="24">
        <v>57.0</v>
      </c>
      <c r="C97" s="25" t="s">
        <v>56</v>
      </c>
      <c r="K97" s="25"/>
      <c r="S97" s="25"/>
      <c r="AA97" s="29"/>
      <c r="AI97" s="45"/>
    </row>
    <row r="98">
      <c r="B98" s="24">
        <v>58.0</v>
      </c>
      <c r="C98" s="25" t="s">
        <v>57</v>
      </c>
      <c r="K98" s="29"/>
      <c r="S98" s="29"/>
      <c r="AA98" s="29"/>
      <c r="AI98" s="45"/>
    </row>
    <row r="99">
      <c r="B99" s="24">
        <v>59.0</v>
      </c>
      <c r="C99" s="25" t="s">
        <v>158</v>
      </c>
      <c r="K99" s="29"/>
      <c r="S99" s="29"/>
      <c r="AA99" s="29"/>
      <c r="AI99" s="45"/>
    </row>
    <row r="100">
      <c r="B100" s="24">
        <v>60.0</v>
      </c>
      <c r="C100" s="25" t="s">
        <v>159</v>
      </c>
      <c r="K100" s="29"/>
      <c r="S100" s="29"/>
      <c r="AA100" s="29"/>
      <c r="AI100" s="45"/>
    </row>
    <row r="101">
      <c r="B101" s="24">
        <v>61.0</v>
      </c>
      <c r="C101" s="25" t="s">
        <v>160</v>
      </c>
      <c r="K101" s="29"/>
      <c r="S101" s="29"/>
      <c r="AA101" s="29"/>
      <c r="AI101" s="45"/>
    </row>
    <row r="102">
      <c r="B102" s="24">
        <v>62.0</v>
      </c>
      <c r="C102" s="25" t="s">
        <v>61</v>
      </c>
      <c r="K102" s="29"/>
      <c r="S102" s="29"/>
      <c r="AA102" s="29"/>
      <c r="AI102" s="45"/>
    </row>
    <row r="103">
      <c r="B103" s="24">
        <v>63.0</v>
      </c>
      <c r="C103" s="25" t="s">
        <v>62</v>
      </c>
      <c r="K103" s="29"/>
      <c r="S103" s="29"/>
      <c r="AA103" s="29"/>
      <c r="AI103" s="45"/>
    </row>
    <row r="104">
      <c r="B104" s="24">
        <v>64.0</v>
      </c>
      <c r="C104" s="25" t="s">
        <v>161</v>
      </c>
      <c r="K104" s="29"/>
      <c r="S104" s="29"/>
      <c r="AA104" s="29"/>
      <c r="AI104" s="45"/>
    </row>
    <row r="105">
      <c r="B105" s="24">
        <v>65.0</v>
      </c>
      <c r="C105" s="25" t="s">
        <v>63</v>
      </c>
      <c r="K105" s="29"/>
      <c r="S105" s="29"/>
      <c r="AA105" s="29"/>
      <c r="AI105" s="45"/>
    </row>
    <row r="106">
      <c r="B106" s="24">
        <v>66.0</v>
      </c>
      <c r="C106" s="25" t="s">
        <v>64</v>
      </c>
      <c r="K106" s="29"/>
      <c r="S106" s="29"/>
      <c r="AA106" s="29"/>
      <c r="AI106" s="45"/>
    </row>
    <row r="107">
      <c r="B107" s="24">
        <v>67.0</v>
      </c>
      <c r="C107" s="25" t="s">
        <v>65</v>
      </c>
      <c r="K107" s="29"/>
      <c r="S107" s="29"/>
      <c r="AA107" s="29"/>
      <c r="AI107" s="45"/>
    </row>
    <row r="108">
      <c r="B108" s="24">
        <v>68.0</v>
      </c>
      <c r="C108" s="25" t="s">
        <v>162</v>
      </c>
      <c r="K108" s="29"/>
      <c r="S108" s="29"/>
      <c r="AA108" s="29"/>
      <c r="AI108" s="45"/>
    </row>
    <row r="109">
      <c r="B109" s="24">
        <v>69.0</v>
      </c>
      <c r="C109" s="25" t="s">
        <v>67</v>
      </c>
      <c r="K109" s="29"/>
      <c r="S109" s="29"/>
      <c r="AA109" s="29"/>
      <c r="AI109" s="45"/>
    </row>
    <row r="110">
      <c r="B110" s="24">
        <v>70.0</v>
      </c>
      <c r="C110" s="25" t="s">
        <v>68</v>
      </c>
      <c r="K110" s="29"/>
      <c r="S110" s="29"/>
      <c r="AA110" s="29"/>
      <c r="AI110" s="45"/>
    </row>
    <row r="111">
      <c r="B111" s="24">
        <v>71.0</v>
      </c>
      <c r="C111" s="25" t="s">
        <v>69</v>
      </c>
      <c r="K111" s="29"/>
      <c r="S111" s="29"/>
      <c r="AA111" s="29"/>
      <c r="AI111" s="45"/>
    </row>
    <row r="112">
      <c r="B112" s="24">
        <v>72.0</v>
      </c>
      <c r="C112" s="25" t="s">
        <v>70</v>
      </c>
      <c r="K112" s="29"/>
      <c r="S112" s="29"/>
      <c r="AA112" s="29"/>
      <c r="AI112" s="45"/>
    </row>
    <row r="113">
      <c r="B113" s="24">
        <v>73.0</v>
      </c>
      <c r="C113" s="25" t="s">
        <v>71</v>
      </c>
      <c r="K113" s="29"/>
      <c r="S113" s="29"/>
      <c r="AA113" s="29"/>
      <c r="AI113" s="45"/>
    </row>
    <row r="114">
      <c r="B114" s="24">
        <v>74.0</v>
      </c>
      <c r="C114" s="25" t="s">
        <v>72</v>
      </c>
      <c r="K114" s="29"/>
      <c r="S114" s="29"/>
      <c r="AA114" s="29"/>
      <c r="AI114" s="45"/>
    </row>
    <row r="115">
      <c r="B115" s="24">
        <v>75.0</v>
      </c>
      <c r="C115" s="25" t="s">
        <v>163</v>
      </c>
      <c r="K115" s="29"/>
      <c r="S115" s="29"/>
      <c r="AA115" s="29"/>
      <c r="AI115" s="45"/>
    </row>
    <row r="116">
      <c r="B116" s="24">
        <v>76.0</v>
      </c>
      <c r="C116" s="25" t="s">
        <v>164</v>
      </c>
      <c r="K116" s="29"/>
      <c r="S116" s="29"/>
      <c r="AA116" s="29"/>
      <c r="AI116" s="45"/>
    </row>
    <row r="117">
      <c r="B117" s="24">
        <v>77.0</v>
      </c>
      <c r="C117" s="25" t="s">
        <v>74</v>
      </c>
      <c r="K117" s="29"/>
      <c r="S117" s="29"/>
      <c r="AA117" s="29"/>
      <c r="AI117" s="45"/>
    </row>
    <row r="118">
      <c r="B118" s="24">
        <v>78.0</v>
      </c>
      <c r="C118" s="25" t="s">
        <v>165</v>
      </c>
      <c r="K118" s="29"/>
      <c r="S118" s="29"/>
      <c r="AA118" s="29"/>
      <c r="AI118" s="45"/>
    </row>
    <row r="119">
      <c r="B119" s="24">
        <v>79.0</v>
      </c>
      <c r="C119" s="25" t="s">
        <v>76</v>
      </c>
      <c r="K119" s="29"/>
      <c r="S119" s="29"/>
      <c r="AA119" s="29"/>
      <c r="AI119" s="45"/>
    </row>
    <row r="120">
      <c r="B120" s="24">
        <v>80.0</v>
      </c>
      <c r="C120" s="25" t="s">
        <v>166</v>
      </c>
      <c r="K120" s="29"/>
      <c r="S120" s="29"/>
      <c r="AA120" s="29"/>
      <c r="AI120" s="45"/>
    </row>
    <row r="121">
      <c r="B121" s="24">
        <v>81.0</v>
      </c>
      <c r="C121" s="25" t="s">
        <v>77</v>
      </c>
      <c r="K121" s="29"/>
      <c r="S121" s="29"/>
      <c r="AA121" s="29"/>
      <c r="AI121" s="45"/>
    </row>
    <row r="122">
      <c r="B122" s="24">
        <v>82.0</v>
      </c>
      <c r="C122" s="25" t="s">
        <v>78</v>
      </c>
      <c r="K122" s="29"/>
      <c r="S122" s="29"/>
      <c r="AA122" s="29"/>
      <c r="AI122" s="45"/>
    </row>
    <row r="123">
      <c r="B123" s="24">
        <v>83.0</v>
      </c>
      <c r="C123" s="25" t="s">
        <v>79</v>
      </c>
      <c r="K123" s="29"/>
      <c r="S123" s="29"/>
      <c r="AA123" s="29"/>
      <c r="AI123" s="45"/>
    </row>
    <row r="124">
      <c r="B124" s="24">
        <v>84.0</v>
      </c>
      <c r="C124" s="25" t="s">
        <v>80</v>
      </c>
      <c r="K124" s="29"/>
      <c r="S124" s="29"/>
      <c r="AA124" s="29"/>
      <c r="AI124" s="45"/>
    </row>
    <row r="125">
      <c r="B125" s="24">
        <v>85.0</v>
      </c>
      <c r="C125" s="25" t="s">
        <v>81</v>
      </c>
      <c r="K125" s="29"/>
      <c r="S125" s="29"/>
      <c r="AA125" s="29"/>
      <c r="AI125" s="45"/>
    </row>
    <row r="126">
      <c r="B126" s="24">
        <v>86.0</v>
      </c>
      <c r="C126" s="25" t="s">
        <v>82</v>
      </c>
      <c r="K126" s="29"/>
      <c r="S126" s="29"/>
      <c r="AA126" s="29"/>
      <c r="AI126" s="45"/>
    </row>
    <row r="127">
      <c r="B127" s="24">
        <v>87.0</v>
      </c>
      <c r="C127" s="25" t="s">
        <v>83</v>
      </c>
      <c r="K127" s="29"/>
      <c r="S127" s="29"/>
      <c r="AA127" s="29"/>
      <c r="AI127" s="45"/>
    </row>
    <row r="128">
      <c r="B128" s="24">
        <v>88.0</v>
      </c>
      <c r="C128" s="25" t="s">
        <v>167</v>
      </c>
      <c r="K128" s="29"/>
      <c r="S128" s="29"/>
      <c r="AA128" s="29"/>
      <c r="AI128" s="45"/>
    </row>
    <row r="129">
      <c r="B129" s="24">
        <v>89.0</v>
      </c>
      <c r="C129" s="25" t="s">
        <v>168</v>
      </c>
      <c r="K129" s="29"/>
      <c r="S129" s="29"/>
      <c r="AA129" s="29"/>
      <c r="AI129" s="45"/>
    </row>
    <row r="130">
      <c r="B130" s="24">
        <v>90.0</v>
      </c>
      <c r="C130" s="25" t="s">
        <v>169</v>
      </c>
      <c r="K130" s="29"/>
      <c r="S130" s="29"/>
      <c r="AA130" s="29"/>
      <c r="AI130" s="45"/>
    </row>
    <row r="131">
      <c r="B131" s="24">
        <v>91.0</v>
      </c>
      <c r="C131" s="25" t="s">
        <v>87</v>
      </c>
      <c r="K131" s="29"/>
      <c r="S131" s="29"/>
      <c r="AA131" s="29"/>
      <c r="AI131" s="45"/>
    </row>
    <row r="132">
      <c r="B132" s="24">
        <v>92.0</v>
      </c>
      <c r="C132" s="25" t="s">
        <v>88</v>
      </c>
      <c r="K132" s="29"/>
      <c r="S132" s="29"/>
      <c r="AA132" s="29"/>
      <c r="AI132" s="45"/>
    </row>
    <row r="133">
      <c r="B133" s="24">
        <v>93.0</v>
      </c>
      <c r="C133" s="25" t="s">
        <v>89</v>
      </c>
      <c r="K133" s="29"/>
      <c r="S133" s="29"/>
      <c r="AA133" s="29"/>
      <c r="AI133" s="45"/>
    </row>
    <row r="134">
      <c r="B134" s="24">
        <v>94.0</v>
      </c>
      <c r="C134" s="25" t="s">
        <v>170</v>
      </c>
      <c r="K134" s="29"/>
      <c r="S134" s="29"/>
      <c r="AA134" s="29"/>
      <c r="AI134" s="45"/>
    </row>
    <row r="135">
      <c r="B135" s="24">
        <v>95.0</v>
      </c>
      <c r="C135" s="25" t="s">
        <v>171</v>
      </c>
      <c r="K135" s="29"/>
      <c r="S135" s="29"/>
      <c r="AA135" s="29"/>
      <c r="AI135" s="45"/>
    </row>
    <row r="136">
      <c r="B136" s="24">
        <v>96.0</v>
      </c>
      <c r="C136" s="25" t="s">
        <v>172</v>
      </c>
      <c r="K136" s="29"/>
      <c r="S136" s="29"/>
      <c r="AA136" s="29"/>
      <c r="AI136" s="45"/>
    </row>
    <row r="137">
      <c r="B137" s="24">
        <v>97.0</v>
      </c>
      <c r="C137" s="25" t="s">
        <v>173</v>
      </c>
      <c r="K137" s="29"/>
      <c r="S137" s="29"/>
      <c r="AA137" s="29"/>
      <c r="AI137" s="45"/>
    </row>
    <row r="138">
      <c r="B138" s="24">
        <v>98.0</v>
      </c>
      <c r="C138" s="25" t="s">
        <v>174</v>
      </c>
      <c r="K138" s="29"/>
      <c r="S138" s="29"/>
      <c r="AA138" s="29"/>
      <c r="AI138" s="45"/>
    </row>
    <row r="139">
      <c r="B139" s="24">
        <v>99.0</v>
      </c>
      <c r="C139" s="25" t="s">
        <v>175</v>
      </c>
      <c r="K139" s="29"/>
      <c r="S139" s="29"/>
      <c r="AA139" s="29"/>
      <c r="AI139" s="45"/>
    </row>
    <row r="140">
      <c r="B140" s="24">
        <v>100.0</v>
      </c>
      <c r="C140" s="25" t="s">
        <v>176</v>
      </c>
      <c r="K140" s="29"/>
      <c r="S140" s="29"/>
      <c r="AA140" s="29"/>
      <c r="AI140" s="45"/>
    </row>
    <row r="141">
      <c r="B141" s="24">
        <v>101.0</v>
      </c>
      <c r="C141" s="25" t="s">
        <v>177</v>
      </c>
      <c r="K141" s="29"/>
      <c r="S141" s="29"/>
      <c r="AA141" s="29"/>
      <c r="AI141" s="45"/>
    </row>
    <row r="142">
      <c r="B142" s="24">
        <v>102.0</v>
      </c>
      <c r="C142" s="25" t="s">
        <v>178</v>
      </c>
      <c r="K142" s="29"/>
      <c r="S142" s="29"/>
      <c r="AA142" s="29"/>
      <c r="AI142" s="45"/>
    </row>
    <row r="143">
      <c r="B143" s="24">
        <v>103.0</v>
      </c>
      <c r="C143" s="25" t="s">
        <v>98</v>
      </c>
      <c r="K143" s="29"/>
      <c r="S143" s="29"/>
      <c r="AA143" s="29"/>
      <c r="AI143" s="45"/>
    </row>
    <row r="144">
      <c r="B144" s="24">
        <v>104.0</v>
      </c>
      <c r="C144" s="25" t="s">
        <v>179</v>
      </c>
      <c r="K144" s="29"/>
      <c r="S144" s="29"/>
      <c r="AA144" s="29"/>
      <c r="AI144" s="45"/>
    </row>
    <row r="145">
      <c r="B145" s="24">
        <v>105.0</v>
      </c>
      <c r="C145" s="25" t="s">
        <v>99</v>
      </c>
      <c r="K145" s="29"/>
      <c r="S145" s="29"/>
      <c r="AA145" s="29"/>
      <c r="AI145" s="45"/>
    </row>
    <row r="146">
      <c r="B146" s="24">
        <v>106.0</v>
      </c>
      <c r="C146" s="25" t="s">
        <v>100</v>
      </c>
      <c r="K146" s="29"/>
      <c r="S146" s="29"/>
      <c r="AA146" s="29"/>
      <c r="AI146" s="45"/>
    </row>
    <row r="147">
      <c r="B147" s="24">
        <v>107.0</v>
      </c>
      <c r="C147" s="25" t="s">
        <v>101</v>
      </c>
      <c r="K147" s="29"/>
      <c r="S147" s="29"/>
      <c r="AA147" s="29"/>
      <c r="AI147" s="45"/>
    </row>
    <row r="148">
      <c r="B148" s="24">
        <v>108.0</v>
      </c>
      <c r="C148" s="25" t="s">
        <v>180</v>
      </c>
      <c r="K148" s="29"/>
      <c r="S148" s="29"/>
      <c r="AA148" s="29"/>
      <c r="AI148" s="45"/>
    </row>
    <row r="149">
      <c r="B149" s="24">
        <v>109.0</v>
      </c>
      <c r="C149" s="25" t="s">
        <v>103</v>
      </c>
      <c r="K149" s="29"/>
      <c r="S149" s="29"/>
      <c r="AA149" s="29"/>
      <c r="AI149" s="45"/>
    </row>
    <row r="150">
      <c r="B150" s="24">
        <v>110.0</v>
      </c>
      <c r="C150" s="25" t="s">
        <v>181</v>
      </c>
      <c r="K150" s="29"/>
      <c r="S150" s="29"/>
      <c r="AA150" s="29"/>
      <c r="AI150" s="45"/>
    </row>
    <row r="151">
      <c r="B151" s="24">
        <v>111.0</v>
      </c>
      <c r="C151" s="25" t="s">
        <v>105</v>
      </c>
      <c r="K151" s="29"/>
      <c r="S151" s="29"/>
      <c r="AA151" s="29"/>
      <c r="AI151" s="45"/>
    </row>
    <row r="152">
      <c r="B152" s="24">
        <v>112.0</v>
      </c>
      <c r="C152" s="25" t="s">
        <v>106</v>
      </c>
      <c r="K152" s="29"/>
      <c r="S152" s="29"/>
      <c r="AA152" s="29"/>
      <c r="AI152" s="45"/>
    </row>
    <row r="153">
      <c r="B153" s="24">
        <v>113.0</v>
      </c>
      <c r="C153" s="25" t="s">
        <v>107</v>
      </c>
      <c r="K153" s="29"/>
      <c r="S153" s="29"/>
      <c r="AA153" s="29"/>
      <c r="AI153" s="45"/>
    </row>
    <row r="154">
      <c r="B154" s="24">
        <v>114.0</v>
      </c>
      <c r="C154" s="25" t="s">
        <v>108</v>
      </c>
      <c r="K154" s="29"/>
      <c r="S154" s="29"/>
      <c r="AA154" s="29"/>
      <c r="AI154" s="45"/>
    </row>
    <row r="155">
      <c r="B155" s="24">
        <v>115.0</v>
      </c>
      <c r="C155" s="25" t="s">
        <v>109</v>
      </c>
      <c r="K155" s="29"/>
      <c r="S155" s="29"/>
      <c r="AA155" s="29"/>
      <c r="AI155" s="45"/>
    </row>
    <row r="156">
      <c r="B156" s="24">
        <v>116.0</v>
      </c>
      <c r="C156" s="25" t="s">
        <v>110</v>
      </c>
      <c r="K156" s="29"/>
      <c r="S156" s="29"/>
      <c r="AA156" s="29"/>
      <c r="AI156" s="45"/>
    </row>
    <row r="157">
      <c r="B157" s="24">
        <v>117.0</v>
      </c>
      <c r="C157" s="25"/>
      <c r="K157" s="29"/>
      <c r="S157" s="29"/>
      <c r="AA157" s="29"/>
      <c r="AI157" s="45"/>
    </row>
    <row r="158">
      <c r="B158" s="24">
        <v>118.0</v>
      </c>
      <c r="C158" s="25" t="s">
        <v>46</v>
      </c>
      <c r="K158" s="29"/>
      <c r="S158" s="29"/>
      <c r="AA158" s="29"/>
      <c r="AI158" s="45"/>
    </row>
    <row r="159">
      <c r="B159" s="24">
        <v>119.0</v>
      </c>
      <c r="C159" s="25" t="s">
        <v>111</v>
      </c>
      <c r="K159" s="29"/>
      <c r="S159" s="29"/>
      <c r="AA159" s="29"/>
      <c r="AI159" s="45"/>
    </row>
    <row r="160">
      <c r="B160" s="24">
        <v>120.0</v>
      </c>
      <c r="C160" s="25" t="s">
        <v>74</v>
      </c>
      <c r="K160" s="29"/>
      <c r="S160" s="29"/>
      <c r="AA160" s="29"/>
      <c r="AI160" s="45"/>
    </row>
    <row r="161">
      <c r="B161" s="24">
        <v>121.0</v>
      </c>
      <c r="C161" s="25" t="s">
        <v>182</v>
      </c>
      <c r="K161" s="29"/>
      <c r="S161" s="29"/>
      <c r="AA161" s="29"/>
      <c r="AI161" s="45"/>
    </row>
    <row r="162">
      <c r="B162" s="24">
        <v>122.0</v>
      </c>
      <c r="C162" s="25" t="s">
        <v>112</v>
      </c>
      <c r="K162" s="29"/>
      <c r="S162" s="29"/>
      <c r="AA162" s="29"/>
      <c r="AI162" s="45"/>
    </row>
    <row r="163">
      <c r="B163" s="24">
        <v>123.0</v>
      </c>
      <c r="C163" s="25" t="s">
        <v>113</v>
      </c>
      <c r="K163" s="29"/>
      <c r="S163" s="29"/>
      <c r="AA163" s="29"/>
      <c r="AI163" s="45"/>
    </row>
    <row r="164">
      <c r="B164" s="24">
        <v>124.0</v>
      </c>
      <c r="C164" s="25" t="s">
        <v>114</v>
      </c>
      <c r="K164" s="29"/>
      <c r="S164" s="29"/>
      <c r="AA164" s="29"/>
      <c r="AI164" s="45"/>
    </row>
    <row r="165">
      <c r="B165" s="24">
        <v>125.0</v>
      </c>
      <c r="C165" s="25" t="s">
        <v>115</v>
      </c>
      <c r="K165" s="29"/>
      <c r="S165" s="29"/>
      <c r="AA165" s="29"/>
      <c r="AI165" s="45"/>
    </row>
    <row r="166">
      <c r="B166" s="24">
        <v>126.0</v>
      </c>
      <c r="C166" s="25" t="s">
        <v>183</v>
      </c>
      <c r="K166" s="29"/>
      <c r="S166" s="29"/>
      <c r="AA166" s="29"/>
      <c r="AI166" s="45"/>
    </row>
    <row r="167">
      <c r="B167" s="24">
        <v>127.0</v>
      </c>
      <c r="C167" s="25" t="s">
        <v>184</v>
      </c>
      <c r="K167" s="29"/>
      <c r="S167" s="29"/>
      <c r="AA167" s="29"/>
      <c r="AI167" s="45"/>
    </row>
    <row r="168">
      <c r="B168" s="24">
        <v>128.0</v>
      </c>
      <c r="C168" s="25" t="s">
        <v>185</v>
      </c>
      <c r="K168" s="29"/>
      <c r="S168" s="29"/>
      <c r="AA168" s="29"/>
      <c r="AI168" s="45"/>
    </row>
    <row r="169">
      <c r="B169" s="24">
        <v>129.0</v>
      </c>
      <c r="C169" s="25" t="s">
        <v>186</v>
      </c>
      <c r="K169" s="29"/>
      <c r="S169" s="29"/>
      <c r="AA169" s="29"/>
      <c r="AI169" s="45"/>
    </row>
    <row r="170">
      <c r="B170" s="24">
        <v>130.0</v>
      </c>
      <c r="C170" s="25" t="s">
        <v>120</v>
      </c>
      <c r="K170" s="29"/>
      <c r="S170" s="29"/>
      <c r="AA170" s="29"/>
      <c r="AI170" s="45"/>
    </row>
    <row r="171">
      <c r="B171" s="24">
        <v>131.0</v>
      </c>
      <c r="C171" s="25" t="s">
        <v>121</v>
      </c>
      <c r="K171" s="29"/>
      <c r="S171" s="29"/>
      <c r="AA171" s="29"/>
      <c r="AI171" s="45"/>
    </row>
    <row r="172">
      <c r="B172" s="24">
        <v>132.0</v>
      </c>
      <c r="C172" s="25" t="s">
        <v>187</v>
      </c>
      <c r="K172" s="29"/>
      <c r="S172" s="29"/>
      <c r="AA172" s="29"/>
      <c r="AI172" s="45"/>
    </row>
    <row r="173">
      <c r="B173" s="24">
        <v>133.0</v>
      </c>
      <c r="C173" s="25" t="s">
        <v>123</v>
      </c>
      <c r="K173" s="29"/>
      <c r="S173" s="29"/>
      <c r="AA173" s="29"/>
      <c r="AI173" s="45"/>
    </row>
    <row r="174">
      <c r="B174" s="24">
        <v>134.0</v>
      </c>
      <c r="C174" s="25" t="s">
        <v>124</v>
      </c>
      <c r="K174" s="29"/>
      <c r="S174" s="29"/>
      <c r="AA174" s="29"/>
      <c r="AI174" s="45"/>
    </row>
    <row r="175">
      <c r="B175" s="24">
        <v>135.0</v>
      </c>
      <c r="C175" s="25" t="s">
        <v>188</v>
      </c>
      <c r="K175" s="29"/>
      <c r="S175" s="29"/>
      <c r="AA175" s="29"/>
      <c r="AI175" s="45"/>
    </row>
    <row r="176">
      <c r="B176" s="24">
        <v>136.0</v>
      </c>
      <c r="C176" s="25" t="s">
        <v>189</v>
      </c>
      <c r="K176" s="29"/>
      <c r="S176" s="29"/>
      <c r="AA176" s="29"/>
      <c r="AI176" s="45"/>
    </row>
    <row r="177">
      <c r="B177" s="24">
        <v>137.0</v>
      </c>
      <c r="C177" s="25" t="s">
        <v>127</v>
      </c>
      <c r="D177" s="26">
        <v>595.0</v>
      </c>
      <c r="K177" s="29"/>
      <c r="S177" s="29"/>
      <c r="T177" s="26">
        <v>596.0</v>
      </c>
      <c r="AA177" s="29"/>
      <c r="AI177" s="45"/>
    </row>
    <row r="178">
      <c r="B178" s="24">
        <v>138.0</v>
      </c>
      <c r="C178" s="25" t="s">
        <v>127</v>
      </c>
      <c r="D178" s="26">
        <v>595.0</v>
      </c>
      <c r="K178" s="29"/>
      <c r="S178" s="29"/>
      <c r="T178" s="26">
        <v>596.0</v>
      </c>
      <c r="AA178" s="29"/>
      <c r="AI178" s="45"/>
    </row>
    <row r="179">
      <c r="B179" s="24">
        <v>139.0</v>
      </c>
      <c r="C179" s="25" t="s">
        <v>127</v>
      </c>
      <c r="D179" s="26">
        <v>595.0</v>
      </c>
      <c r="K179" s="29"/>
      <c r="S179" s="29"/>
      <c r="T179" s="26">
        <v>596.0</v>
      </c>
      <c r="AA179" s="29"/>
      <c r="AI179" s="45"/>
    </row>
    <row r="180">
      <c r="B180" s="24">
        <v>140.0</v>
      </c>
      <c r="C180" s="25" t="s">
        <v>127</v>
      </c>
      <c r="D180" s="26">
        <v>595.0</v>
      </c>
      <c r="K180" s="29"/>
      <c r="S180" s="29"/>
      <c r="T180" s="26">
        <v>596.0</v>
      </c>
      <c r="AA180" s="29"/>
      <c r="AI180" s="45"/>
    </row>
    <row r="181">
      <c r="B181" s="24">
        <v>141.0</v>
      </c>
      <c r="C181" s="25" t="s">
        <v>127</v>
      </c>
      <c r="D181" s="26">
        <v>595.0</v>
      </c>
      <c r="K181" s="29"/>
      <c r="S181" s="29"/>
      <c r="T181" s="26">
        <v>596.0</v>
      </c>
      <c r="AA181" s="29"/>
      <c r="AI181" s="45"/>
    </row>
    <row r="182">
      <c r="B182" s="24">
        <v>142.0</v>
      </c>
      <c r="C182" s="25" t="s">
        <v>127</v>
      </c>
      <c r="D182" s="26">
        <v>595.0</v>
      </c>
      <c r="K182" s="29"/>
      <c r="S182" s="29"/>
      <c r="T182" s="26">
        <v>596.0</v>
      </c>
      <c r="AA182" s="29"/>
      <c r="AI182" s="45"/>
    </row>
    <row r="183">
      <c r="B183" s="24">
        <v>143.0</v>
      </c>
      <c r="C183" s="25" t="s">
        <v>127</v>
      </c>
      <c r="D183" s="26">
        <v>595.0</v>
      </c>
      <c r="K183" s="29"/>
      <c r="S183" s="29"/>
      <c r="T183" s="26">
        <v>596.0</v>
      </c>
      <c r="AA183" s="29"/>
      <c r="AI183" s="45"/>
    </row>
    <row r="184">
      <c r="B184" s="24">
        <v>144.0</v>
      </c>
      <c r="C184" s="25" t="s">
        <v>127</v>
      </c>
      <c r="D184" s="26">
        <v>595.0</v>
      </c>
      <c r="K184" s="29"/>
      <c r="S184" s="29"/>
      <c r="T184" s="26">
        <v>596.0</v>
      </c>
      <c r="AA184" s="29"/>
      <c r="AI184" s="45"/>
    </row>
    <row r="185">
      <c r="B185" s="24">
        <v>145.0</v>
      </c>
      <c r="C185" s="25" t="s">
        <v>127</v>
      </c>
      <c r="D185" s="26">
        <v>595.0</v>
      </c>
      <c r="K185" s="29"/>
      <c r="S185" s="29"/>
      <c r="T185" s="26">
        <v>596.0</v>
      </c>
      <c r="AA185" s="29"/>
      <c r="AI185" s="45"/>
    </row>
    <row r="186">
      <c r="B186" s="24">
        <v>146.0</v>
      </c>
      <c r="C186" s="25" t="s">
        <v>127</v>
      </c>
      <c r="D186" s="26">
        <v>595.0</v>
      </c>
      <c r="K186" s="29"/>
      <c r="S186" s="29"/>
      <c r="T186" s="26">
        <v>596.0</v>
      </c>
      <c r="AA186" s="29"/>
      <c r="AI186" s="45"/>
    </row>
    <row r="187">
      <c r="B187" s="24">
        <v>147.0</v>
      </c>
      <c r="C187" s="25" t="s">
        <v>127</v>
      </c>
      <c r="D187" s="26">
        <v>595.0</v>
      </c>
      <c r="K187" s="29"/>
      <c r="S187" s="29"/>
      <c r="T187" s="26">
        <v>596.0</v>
      </c>
      <c r="AA187" s="29"/>
      <c r="AI187" s="45"/>
    </row>
    <row r="188">
      <c r="B188" s="24">
        <v>148.0</v>
      </c>
      <c r="C188" s="25" t="s">
        <v>127</v>
      </c>
      <c r="D188" s="26">
        <v>595.0</v>
      </c>
      <c r="K188" s="29"/>
      <c r="S188" s="29"/>
      <c r="T188" s="26">
        <v>596.0</v>
      </c>
      <c r="AA188" s="29"/>
      <c r="AI188" s="45"/>
    </row>
    <row r="189">
      <c r="B189" s="24">
        <v>149.0</v>
      </c>
      <c r="C189" s="25" t="s">
        <v>127</v>
      </c>
      <c r="D189" s="26">
        <v>595.0</v>
      </c>
      <c r="K189" s="29"/>
      <c r="S189" s="29"/>
      <c r="T189" s="26">
        <v>596.0</v>
      </c>
      <c r="AA189" s="29"/>
      <c r="AI189" s="45"/>
    </row>
    <row r="190">
      <c r="B190" s="24">
        <v>150.0</v>
      </c>
      <c r="C190" s="25" t="s">
        <v>127</v>
      </c>
      <c r="D190" s="26">
        <v>595.0</v>
      </c>
      <c r="K190" s="29"/>
      <c r="S190" s="29"/>
      <c r="T190" s="26">
        <v>596.0</v>
      </c>
      <c r="AA190" s="29"/>
      <c r="AI190" s="45"/>
    </row>
    <row r="191">
      <c r="B191" s="24">
        <v>151.0</v>
      </c>
      <c r="C191" s="25" t="s">
        <v>127</v>
      </c>
      <c r="D191" s="26">
        <v>595.0</v>
      </c>
      <c r="K191" s="29"/>
      <c r="S191" s="29"/>
      <c r="T191" s="26">
        <v>596.0</v>
      </c>
      <c r="AA191" s="29"/>
      <c r="AI191" s="45"/>
    </row>
    <row r="192">
      <c r="B192" s="24">
        <v>152.0</v>
      </c>
      <c r="C192" s="25" t="s">
        <v>127</v>
      </c>
      <c r="D192" s="26">
        <v>595.0</v>
      </c>
      <c r="K192" s="29"/>
      <c r="S192" s="29"/>
      <c r="T192" s="26">
        <v>596.0</v>
      </c>
      <c r="AA192" s="29"/>
      <c r="AI192" s="45"/>
    </row>
    <row r="193">
      <c r="B193" s="24">
        <v>153.0</v>
      </c>
      <c r="C193" s="25" t="s">
        <v>127</v>
      </c>
      <c r="D193" s="26">
        <v>595.0</v>
      </c>
      <c r="K193" s="29"/>
      <c r="S193" s="29"/>
      <c r="T193" s="26">
        <v>596.0</v>
      </c>
      <c r="AA193" s="29"/>
      <c r="AI193" s="45"/>
    </row>
    <row r="194">
      <c r="B194" s="24">
        <v>154.0</v>
      </c>
      <c r="C194" s="25" t="s">
        <v>127</v>
      </c>
      <c r="D194" s="26">
        <v>595.0</v>
      </c>
      <c r="K194" s="29"/>
      <c r="S194" s="29"/>
      <c r="T194" s="26">
        <v>596.0</v>
      </c>
      <c r="AA194" s="29"/>
      <c r="AI194" s="45"/>
    </row>
    <row r="195">
      <c r="B195" s="24">
        <v>155.0</v>
      </c>
      <c r="C195" s="25" t="s">
        <v>127</v>
      </c>
      <c r="D195" s="26">
        <v>595.0</v>
      </c>
      <c r="K195" s="29"/>
      <c r="S195" s="29"/>
      <c r="T195" s="26">
        <v>596.0</v>
      </c>
      <c r="AA195" s="29"/>
      <c r="AI195" s="45"/>
    </row>
    <row r="196">
      <c r="B196" s="24">
        <v>156.0</v>
      </c>
      <c r="C196" s="25" t="s">
        <v>127</v>
      </c>
      <c r="D196" s="26">
        <v>595.0</v>
      </c>
      <c r="K196" s="29"/>
      <c r="S196" s="29"/>
      <c r="T196" s="26">
        <v>596.0</v>
      </c>
      <c r="AA196" s="29"/>
      <c r="AI196" s="45"/>
    </row>
    <row r="197">
      <c r="B197" s="24">
        <v>157.0</v>
      </c>
      <c r="C197" s="25" t="s">
        <v>127</v>
      </c>
      <c r="D197" s="26">
        <v>595.0</v>
      </c>
      <c r="K197" s="29"/>
      <c r="S197" s="29"/>
      <c r="T197" s="26">
        <v>596.0</v>
      </c>
      <c r="AA197" s="29"/>
      <c r="AI197" s="45"/>
    </row>
    <row r="198">
      <c r="B198" s="24">
        <v>158.0</v>
      </c>
      <c r="C198" s="25" t="s">
        <v>127</v>
      </c>
      <c r="D198" s="26">
        <v>595.0</v>
      </c>
      <c r="K198" s="29"/>
      <c r="S198" s="29"/>
      <c r="T198" s="26">
        <v>596.0</v>
      </c>
      <c r="AA198" s="29"/>
      <c r="AI198" s="45"/>
    </row>
    <row r="199">
      <c r="B199" s="24">
        <v>159.0</v>
      </c>
      <c r="C199" s="25" t="s">
        <v>127</v>
      </c>
      <c r="D199" s="26">
        <v>595.0</v>
      </c>
      <c r="K199" s="29"/>
      <c r="S199" s="29"/>
      <c r="T199" s="26">
        <v>596.0</v>
      </c>
      <c r="AA199" s="29"/>
      <c r="AI199" s="45"/>
    </row>
    <row r="200">
      <c r="B200" s="24">
        <v>160.0</v>
      </c>
      <c r="C200" s="25" t="s">
        <v>127</v>
      </c>
      <c r="D200" s="26">
        <v>595.0</v>
      </c>
      <c r="K200" s="29"/>
      <c r="S200" s="29"/>
      <c r="T200" s="26">
        <v>596.0</v>
      </c>
      <c r="AA200" s="29"/>
      <c r="AI200" s="45"/>
    </row>
    <row r="201">
      <c r="B201" s="24">
        <v>161.0</v>
      </c>
      <c r="C201" s="25" t="s">
        <v>127</v>
      </c>
      <c r="D201" s="26">
        <v>595.0</v>
      </c>
      <c r="K201" s="29"/>
      <c r="S201" s="29"/>
      <c r="T201" s="26">
        <v>596.0</v>
      </c>
      <c r="AA201" s="29"/>
      <c r="AI201" s="45"/>
    </row>
    <row r="202">
      <c r="B202" s="24">
        <v>162.0</v>
      </c>
      <c r="C202" s="25" t="s">
        <v>127</v>
      </c>
      <c r="D202" s="26">
        <v>595.0</v>
      </c>
      <c r="K202" s="29"/>
      <c r="S202" s="29"/>
      <c r="T202" s="26">
        <v>596.0</v>
      </c>
      <c r="AA202" s="29"/>
      <c r="AI202" s="45"/>
    </row>
    <row r="203">
      <c r="B203" s="24">
        <v>163.0</v>
      </c>
      <c r="C203" s="25" t="s">
        <v>127</v>
      </c>
      <c r="D203" s="26">
        <v>595.0</v>
      </c>
      <c r="K203" s="29"/>
      <c r="S203" s="29"/>
      <c r="T203" s="26">
        <v>596.0</v>
      </c>
      <c r="AA203" s="29"/>
      <c r="AI203" s="45"/>
    </row>
    <row r="204">
      <c r="B204" s="24">
        <v>164.0</v>
      </c>
      <c r="C204" s="25" t="s">
        <v>127</v>
      </c>
      <c r="D204" s="26">
        <v>595.0</v>
      </c>
      <c r="K204" s="29"/>
      <c r="S204" s="29"/>
      <c r="T204" s="26">
        <v>596.0</v>
      </c>
      <c r="AA204" s="29"/>
      <c r="AI204" s="45"/>
    </row>
    <row r="205">
      <c r="B205" s="24">
        <v>165.0</v>
      </c>
      <c r="C205" s="25" t="s">
        <v>127</v>
      </c>
      <c r="D205" s="26">
        <v>595.0</v>
      </c>
      <c r="K205" s="29"/>
      <c r="S205" s="29"/>
      <c r="T205" s="26">
        <v>596.0</v>
      </c>
      <c r="AA205" s="29"/>
      <c r="AI205" s="45"/>
    </row>
    <row r="206">
      <c r="B206" s="24">
        <v>166.0</v>
      </c>
      <c r="C206" s="25" t="s">
        <v>127</v>
      </c>
      <c r="D206" s="26">
        <v>595.0</v>
      </c>
      <c r="K206" s="29"/>
      <c r="S206" s="29"/>
      <c r="T206" s="26">
        <v>596.0</v>
      </c>
      <c r="AA206" s="29"/>
      <c r="AI206" s="45"/>
    </row>
    <row r="207">
      <c r="B207" s="24">
        <v>167.0</v>
      </c>
      <c r="C207" s="25" t="s">
        <v>127</v>
      </c>
      <c r="D207" s="26">
        <v>595.0</v>
      </c>
      <c r="K207" s="29"/>
      <c r="S207" s="29"/>
      <c r="T207" s="26">
        <v>596.0</v>
      </c>
      <c r="AA207" s="29"/>
      <c r="AI207" s="45"/>
    </row>
    <row r="208">
      <c r="B208" s="24">
        <v>168.0</v>
      </c>
      <c r="C208" s="25" t="s">
        <v>127</v>
      </c>
      <c r="D208" s="26">
        <v>595.0</v>
      </c>
      <c r="K208" s="29"/>
      <c r="S208" s="29"/>
      <c r="T208" s="26">
        <v>596.0</v>
      </c>
      <c r="AA208" s="29"/>
      <c r="AI208" s="45"/>
    </row>
    <row r="209">
      <c r="B209" s="24">
        <v>169.0</v>
      </c>
      <c r="C209" s="25" t="s">
        <v>127</v>
      </c>
      <c r="D209" s="26">
        <v>595.0</v>
      </c>
      <c r="K209" s="29"/>
      <c r="S209" s="29"/>
      <c r="T209" s="26">
        <v>596.0</v>
      </c>
      <c r="AA209" s="29"/>
      <c r="AI209" s="45"/>
    </row>
    <row r="210">
      <c r="B210" s="24">
        <v>170.0</v>
      </c>
      <c r="C210" s="25" t="s">
        <v>127</v>
      </c>
      <c r="D210" s="26">
        <v>595.0</v>
      </c>
      <c r="K210" s="29"/>
      <c r="S210" s="29"/>
      <c r="T210" s="26">
        <v>596.0</v>
      </c>
      <c r="AA210" s="29"/>
      <c r="AI210" s="45"/>
    </row>
    <row r="211">
      <c r="B211" s="24">
        <v>171.0</v>
      </c>
      <c r="C211" s="25" t="s">
        <v>127</v>
      </c>
      <c r="D211" s="26">
        <v>595.0</v>
      </c>
      <c r="K211" s="29"/>
      <c r="S211" s="29"/>
      <c r="T211" s="26">
        <v>596.0</v>
      </c>
      <c r="AA211" s="29"/>
      <c r="AI211" s="45"/>
    </row>
    <row r="212">
      <c r="B212" s="24">
        <v>172.0</v>
      </c>
      <c r="C212" s="25" t="s">
        <v>127</v>
      </c>
      <c r="D212" s="26">
        <v>595.0</v>
      </c>
      <c r="K212" s="29"/>
      <c r="S212" s="29"/>
      <c r="T212" s="26">
        <v>596.0</v>
      </c>
      <c r="AA212" s="29"/>
      <c r="AI212" s="45"/>
    </row>
    <row r="213">
      <c r="B213" s="24">
        <v>173.0</v>
      </c>
      <c r="C213" s="25" t="s">
        <v>127</v>
      </c>
      <c r="D213" s="26">
        <v>595.0</v>
      </c>
      <c r="K213" s="29"/>
      <c r="S213" s="29"/>
      <c r="T213" s="26">
        <v>596.0</v>
      </c>
      <c r="AA213" s="29"/>
      <c r="AI213" s="45"/>
    </row>
    <row r="214">
      <c r="B214" s="24">
        <v>174.0</v>
      </c>
      <c r="C214" s="25" t="s">
        <v>127</v>
      </c>
      <c r="D214" s="26">
        <v>595.0</v>
      </c>
      <c r="K214" s="29"/>
      <c r="S214" s="29"/>
      <c r="T214" s="26">
        <v>596.0</v>
      </c>
      <c r="AA214" s="29"/>
      <c r="AI214" s="45"/>
    </row>
    <row r="215">
      <c r="B215" s="24">
        <v>175.0</v>
      </c>
      <c r="C215" s="25" t="s">
        <v>127</v>
      </c>
      <c r="D215" s="26">
        <v>595.0</v>
      </c>
      <c r="K215" s="29"/>
      <c r="S215" s="29"/>
      <c r="T215" s="26">
        <v>596.0</v>
      </c>
      <c r="AA215" s="29"/>
      <c r="AI215" s="45"/>
    </row>
    <row r="216">
      <c r="B216" s="24">
        <v>176.0</v>
      </c>
      <c r="C216" s="25" t="s">
        <v>127</v>
      </c>
      <c r="D216" s="26">
        <v>595.0</v>
      </c>
      <c r="K216" s="29"/>
      <c r="S216" s="29"/>
      <c r="T216" s="26">
        <v>596.0</v>
      </c>
      <c r="AA216" s="29"/>
      <c r="AI216" s="45"/>
    </row>
    <row r="217">
      <c r="B217" s="24">
        <v>177.0</v>
      </c>
      <c r="C217" s="25" t="s">
        <v>127</v>
      </c>
      <c r="D217" s="26">
        <v>595.0</v>
      </c>
      <c r="K217" s="29"/>
      <c r="S217" s="29"/>
      <c r="T217" s="26">
        <v>596.0</v>
      </c>
      <c r="AA217" s="29"/>
      <c r="AI217" s="45"/>
    </row>
    <row r="218">
      <c r="B218" s="24">
        <v>178.0</v>
      </c>
      <c r="C218" s="25" t="s">
        <v>127</v>
      </c>
      <c r="D218" s="26">
        <v>595.0</v>
      </c>
      <c r="K218" s="29"/>
      <c r="S218" s="29"/>
      <c r="T218" s="26">
        <v>596.0</v>
      </c>
      <c r="AA218" s="29"/>
      <c r="AI218" s="45"/>
    </row>
    <row r="219">
      <c r="B219" s="24">
        <v>179.0</v>
      </c>
      <c r="C219" s="25" t="s">
        <v>127</v>
      </c>
      <c r="D219" s="26">
        <v>595.0</v>
      </c>
      <c r="K219" s="29"/>
      <c r="S219" s="29"/>
      <c r="T219" s="26">
        <v>596.0</v>
      </c>
      <c r="AA219" s="29"/>
      <c r="AI219" s="45"/>
    </row>
    <row r="220">
      <c r="B220" s="24">
        <v>180.0</v>
      </c>
      <c r="C220" s="25" t="s">
        <v>127</v>
      </c>
      <c r="D220" s="26">
        <v>595.0</v>
      </c>
      <c r="K220" s="29"/>
      <c r="S220" s="29"/>
      <c r="T220" s="26">
        <v>596.0</v>
      </c>
      <c r="AA220" s="29"/>
      <c r="AI220" s="45"/>
    </row>
    <row r="221">
      <c r="B221" s="24">
        <v>181.0</v>
      </c>
      <c r="C221" s="25" t="s">
        <v>127</v>
      </c>
      <c r="D221" s="26">
        <v>595.0</v>
      </c>
      <c r="K221" s="29"/>
      <c r="S221" s="29"/>
      <c r="T221" s="26">
        <v>596.0</v>
      </c>
      <c r="AA221" s="29"/>
      <c r="AI221" s="45"/>
    </row>
    <row r="222">
      <c r="B222" s="24">
        <v>182.0</v>
      </c>
      <c r="C222" s="25" t="s">
        <v>127</v>
      </c>
      <c r="D222" s="26">
        <v>595.0</v>
      </c>
      <c r="K222" s="29"/>
      <c r="S222" s="29"/>
      <c r="T222" s="26">
        <v>596.0</v>
      </c>
      <c r="AA222" s="29"/>
      <c r="AI222" s="45"/>
    </row>
    <row r="223">
      <c r="B223" s="24">
        <v>183.0</v>
      </c>
      <c r="C223" s="25" t="s">
        <v>127</v>
      </c>
      <c r="D223" s="26">
        <v>595.0</v>
      </c>
      <c r="K223" s="29"/>
      <c r="S223" s="29"/>
      <c r="T223" s="26">
        <v>596.0</v>
      </c>
      <c r="AA223" s="29"/>
      <c r="AI223" s="45"/>
    </row>
    <row r="224">
      <c r="B224" s="24">
        <v>184.0</v>
      </c>
      <c r="C224" s="25" t="s">
        <v>127</v>
      </c>
      <c r="D224" s="26">
        <v>595.0</v>
      </c>
      <c r="K224" s="29"/>
      <c r="S224" s="29"/>
      <c r="T224" s="26">
        <v>596.0</v>
      </c>
      <c r="AA224" s="29"/>
      <c r="AI224" s="45"/>
    </row>
    <row r="225">
      <c r="B225" s="24">
        <v>185.0</v>
      </c>
      <c r="C225" s="25" t="s">
        <v>127</v>
      </c>
      <c r="D225" s="26">
        <v>595.0</v>
      </c>
      <c r="K225" s="29"/>
      <c r="S225" s="29"/>
      <c r="T225" s="26">
        <v>596.0</v>
      </c>
      <c r="AA225" s="29"/>
      <c r="AI225" s="45"/>
    </row>
    <row r="226">
      <c r="B226" s="24">
        <v>186.0</v>
      </c>
      <c r="C226" s="25" t="s">
        <v>127</v>
      </c>
      <c r="D226" s="26">
        <v>595.0</v>
      </c>
      <c r="K226" s="29"/>
      <c r="S226" s="29"/>
      <c r="T226" s="26">
        <v>596.0</v>
      </c>
      <c r="AA226" s="29"/>
      <c r="AI226" s="45"/>
    </row>
    <row r="227">
      <c r="B227" s="24">
        <v>187.0</v>
      </c>
      <c r="C227" s="25" t="s">
        <v>127</v>
      </c>
      <c r="D227" s="26">
        <v>595.0</v>
      </c>
      <c r="K227" s="29"/>
      <c r="S227" s="29"/>
      <c r="T227" s="26">
        <v>596.0</v>
      </c>
      <c r="AA227" s="29"/>
      <c r="AI227" s="45"/>
    </row>
    <row r="228">
      <c r="B228" s="24">
        <v>188.0</v>
      </c>
      <c r="C228" s="25" t="s">
        <v>127</v>
      </c>
      <c r="D228" s="26">
        <v>595.0</v>
      </c>
      <c r="K228" s="29"/>
      <c r="S228" s="29"/>
      <c r="T228" s="26">
        <v>596.0</v>
      </c>
      <c r="AA228" s="29"/>
      <c r="AI228" s="45"/>
    </row>
    <row r="229">
      <c r="B229" s="24">
        <v>189.0</v>
      </c>
      <c r="C229" s="25" t="s">
        <v>127</v>
      </c>
      <c r="D229" s="26">
        <v>595.0</v>
      </c>
      <c r="K229" s="29"/>
      <c r="S229" s="29"/>
      <c r="T229" s="26">
        <v>596.0</v>
      </c>
      <c r="AA229" s="29"/>
      <c r="AI229" s="45"/>
    </row>
    <row r="230">
      <c r="B230" s="24">
        <v>190.0</v>
      </c>
      <c r="C230" s="25" t="s">
        <v>127</v>
      </c>
      <c r="D230" s="26">
        <v>595.0</v>
      </c>
      <c r="K230" s="29"/>
      <c r="S230" s="29"/>
      <c r="T230" s="26">
        <v>596.0</v>
      </c>
      <c r="AA230" s="29"/>
      <c r="AI230" s="45"/>
    </row>
    <row r="231">
      <c r="B231" s="24">
        <v>191.0</v>
      </c>
      <c r="C231" s="25" t="s">
        <v>127</v>
      </c>
      <c r="D231" s="26">
        <v>595.0</v>
      </c>
      <c r="K231" s="29"/>
      <c r="S231" s="29"/>
      <c r="T231" s="26">
        <v>596.0</v>
      </c>
      <c r="AA231" s="29"/>
      <c r="AI231" s="45"/>
    </row>
    <row r="232">
      <c r="B232" s="24">
        <v>192.0</v>
      </c>
      <c r="C232" s="25" t="s">
        <v>127</v>
      </c>
      <c r="D232" s="26">
        <v>595.0</v>
      </c>
      <c r="K232" s="29"/>
      <c r="S232" s="29"/>
      <c r="T232" s="26">
        <v>596.0</v>
      </c>
      <c r="AA232" s="29"/>
      <c r="AI232" s="45"/>
    </row>
    <row r="233">
      <c r="B233" s="24">
        <v>193.0</v>
      </c>
      <c r="C233" s="25" t="s">
        <v>127</v>
      </c>
      <c r="D233" s="26">
        <v>595.0</v>
      </c>
      <c r="K233" s="29"/>
      <c r="S233" s="29"/>
      <c r="T233" s="26">
        <v>596.0</v>
      </c>
      <c r="AA233" s="29"/>
      <c r="AI233" s="45"/>
    </row>
    <row r="234">
      <c r="B234" s="24">
        <v>194.0</v>
      </c>
      <c r="C234" s="25" t="s">
        <v>127</v>
      </c>
      <c r="D234" s="26">
        <v>595.0</v>
      </c>
      <c r="K234" s="29"/>
      <c r="S234" s="29"/>
      <c r="T234" s="26">
        <v>596.0</v>
      </c>
      <c r="AA234" s="29"/>
      <c r="AI234" s="45"/>
    </row>
    <row r="235">
      <c r="B235" s="24">
        <v>195.0</v>
      </c>
      <c r="C235" s="25" t="s">
        <v>127</v>
      </c>
      <c r="D235" s="26">
        <v>595.0</v>
      </c>
      <c r="K235" s="29"/>
      <c r="S235" s="29"/>
      <c r="T235" s="26">
        <v>596.0</v>
      </c>
      <c r="AA235" s="29"/>
      <c r="AI235" s="45"/>
    </row>
    <row r="236">
      <c r="B236" s="24">
        <v>196.0</v>
      </c>
      <c r="C236" s="25" t="s">
        <v>127</v>
      </c>
      <c r="D236" s="26">
        <v>595.0</v>
      </c>
      <c r="K236" s="29"/>
      <c r="S236" s="29"/>
      <c r="T236" s="26">
        <v>596.0</v>
      </c>
      <c r="AA236" s="29"/>
      <c r="AI236" s="45"/>
    </row>
    <row r="237">
      <c r="B237" s="24">
        <v>197.0</v>
      </c>
      <c r="C237" s="25" t="s">
        <v>127</v>
      </c>
      <c r="D237" s="26">
        <v>595.0</v>
      </c>
      <c r="K237" s="29"/>
      <c r="S237" s="29"/>
      <c r="T237" s="26">
        <v>596.0</v>
      </c>
      <c r="AA237" s="29"/>
      <c r="AI237" s="45"/>
    </row>
    <row r="238">
      <c r="B238" s="24">
        <v>198.0</v>
      </c>
      <c r="C238" s="25" t="s">
        <v>127</v>
      </c>
      <c r="D238" s="26">
        <v>595.0</v>
      </c>
      <c r="K238" s="29"/>
      <c r="S238" s="29"/>
      <c r="T238" s="26">
        <v>596.0</v>
      </c>
      <c r="AA238" s="29"/>
      <c r="AI238" s="45"/>
    </row>
    <row r="239">
      <c r="B239" s="24">
        <v>199.0</v>
      </c>
      <c r="C239" s="25" t="s">
        <v>127</v>
      </c>
      <c r="D239" s="26">
        <v>595.0</v>
      </c>
      <c r="K239" s="29"/>
      <c r="S239" s="29"/>
      <c r="T239" s="26">
        <v>596.0</v>
      </c>
      <c r="AA239" s="29"/>
      <c r="AI239" s="45"/>
    </row>
    <row r="240">
      <c r="B240" s="24">
        <v>200.0</v>
      </c>
      <c r="C240" s="25" t="s">
        <v>127</v>
      </c>
      <c r="D240" s="26">
        <v>595.0</v>
      </c>
      <c r="K240" s="29"/>
      <c r="S240" s="29"/>
      <c r="T240" s="26">
        <v>596.0</v>
      </c>
      <c r="AA240" s="29"/>
      <c r="AI240" s="45"/>
    </row>
    <row r="241">
      <c r="B241" s="24">
        <v>201.0</v>
      </c>
      <c r="C241" s="25" t="s">
        <v>127</v>
      </c>
      <c r="D241" s="26">
        <v>595.0</v>
      </c>
      <c r="K241" s="29"/>
      <c r="S241" s="29"/>
      <c r="T241" s="26">
        <v>596.0</v>
      </c>
      <c r="AA241" s="29"/>
      <c r="AI241" s="45"/>
    </row>
    <row r="242">
      <c r="B242" s="24">
        <v>202.0</v>
      </c>
      <c r="C242" s="25" t="s">
        <v>127</v>
      </c>
      <c r="D242" s="26">
        <v>595.0</v>
      </c>
      <c r="K242" s="29"/>
      <c r="S242" s="29"/>
      <c r="T242" s="26">
        <v>596.0</v>
      </c>
      <c r="AA242" s="29"/>
      <c r="AI242" s="45"/>
    </row>
    <row r="243">
      <c r="B243" s="24">
        <v>203.0</v>
      </c>
      <c r="C243" s="25" t="s">
        <v>127</v>
      </c>
      <c r="D243" s="26">
        <v>595.0</v>
      </c>
      <c r="K243" s="29"/>
      <c r="S243" s="29"/>
      <c r="T243" s="26">
        <v>596.0</v>
      </c>
      <c r="AA243" s="29"/>
      <c r="AI243" s="45"/>
    </row>
    <row r="244">
      <c r="B244" s="24">
        <v>204.0</v>
      </c>
      <c r="C244" s="25" t="s">
        <v>127</v>
      </c>
      <c r="D244" s="26">
        <v>595.0</v>
      </c>
      <c r="K244" s="29"/>
      <c r="S244" s="29"/>
      <c r="T244" s="26">
        <v>596.0</v>
      </c>
      <c r="AA244" s="29"/>
      <c r="AI244" s="45"/>
    </row>
    <row r="245">
      <c r="B245" s="24">
        <v>205.0</v>
      </c>
      <c r="C245" s="25" t="s">
        <v>127</v>
      </c>
      <c r="D245" s="26">
        <v>595.0</v>
      </c>
      <c r="K245" s="29"/>
      <c r="S245" s="29"/>
      <c r="T245" s="26">
        <v>596.0</v>
      </c>
      <c r="AA245" s="29"/>
      <c r="AI245" s="45"/>
    </row>
    <row r="246">
      <c r="B246" s="24">
        <v>206.0</v>
      </c>
      <c r="C246" s="25" t="s">
        <v>127</v>
      </c>
      <c r="D246" s="26">
        <v>595.0</v>
      </c>
      <c r="K246" s="29"/>
      <c r="S246" s="29"/>
      <c r="T246" s="26">
        <v>596.0</v>
      </c>
      <c r="AA246" s="29"/>
      <c r="AI246" s="45"/>
    </row>
    <row r="247">
      <c r="B247" s="24">
        <v>207.0</v>
      </c>
      <c r="C247" s="25" t="s">
        <v>127</v>
      </c>
      <c r="D247" s="26">
        <v>595.0</v>
      </c>
      <c r="K247" s="29"/>
      <c r="S247" s="29"/>
      <c r="T247" s="26">
        <v>596.0</v>
      </c>
      <c r="AA247" s="29"/>
      <c r="AI247" s="45"/>
    </row>
    <row r="248">
      <c r="B248" s="24">
        <v>208.0</v>
      </c>
      <c r="C248" s="25" t="s">
        <v>127</v>
      </c>
      <c r="D248" s="26">
        <v>595.0</v>
      </c>
      <c r="K248" s="29"/>
      <c r="S248" s="29"/>
      <c r="T248" s="26">
        <v>596.0</v>
      </c>
      <c r="AA248" s="29"/>
      <c r="AI248" s="45"/>
    </row>
    <row r="249">
      <c r="B249" s="24">
        <v>209.0</v>
      </c>
      <c r="C249" s="25" t="s">
        <v>127</v>
      </c>
      <c r="D249" s="26">
        <v>595.0</v>
      </c>
      <c r="K249" s="29"/>
      <c r="S249" s="29"/>
      <c r="T249" s="26">
        <v>596.0</v>
      </c>
      <c r="AA249" s="29"/>
      <c r="AI249" s="45"/>
    </row>
    <row r="250">
      <c r="B250" s="24">
        <v>210.0</v>
      </c>
      <c r="C250" s="25" t="s">
        <v>127</v>
      </c>
      <c r="D250" s="26">
        <v>595.0</v>
      </c>
      <c r="K250" s="29"/>
      <c r="S250" s="29"/>
      <c r="T250" s="26">
        <v>596.0</v>
      </c>
      <c r="AA250" s="29"/>
      <c r="AI250" s="45"/>
    </row>
    <row r="251">
      <c r="B251" s="24">
        <v>211.0</v>
      </c>
      <c r="C251" s="25" t="s">
        <v>127</v>
      </c>
      <c r="D251" s="26">
        <v>595.0</v>
      </c>
      <c r="K251" s="29"/>
      <c r="S251" s="29"/>
      <c r="T251" s="26">
        <v>596.0</v>
      </c>
      <c r="AA251" s="29"/>
      <c r="AI251" s="45"/>
    </row>
    <row r="252">
      <c r="B252" s="24">
        <v>212.0</v>
      </c>
      <c r="C252" s="25" t="s">
        <v>127</v>
      </c>
      <c r="D252" s="26">
        <v>595.0</v>
      </c>
      <c r="K252" s="29"/>
      <c r="S252" s="29"/>
      <c r="T252" s="26">
        <v>596.0</v>
      </c>
      <c r="AA252" s="29"/>
      <c r="AI252" s="45"/>
    </row>
    <row r="253">
      <c r="B253" s="24">
        <v>213.0</v>
      </c>
      <c r="C253" s="25" t="s">
        <v>127</v>
      </c>
      <c r="D253" s="26">
        <v>595.0</v>
      </c>
      <c r="K253" s="29"/>
      <c r="S253" s="29"/>
      <c r="T253" s="26">
        <v>596.0</v>
      </c>
      <c r="AA253" s="29"/>
      <c r="AI253" s="45"/>
    </row>
    <row r="254">
      <c r="B254" s="24">
        <v>214.0</v>
      </c>
      <c r="C254" s="25" t="s">
        <v>127</v>
      </c>
      <c r="D254" s="26">
        <v>595.0</v>
      </c>
      <c r="K254" s="29"/>
      <c r="S254" s="29"/>
      <c r="T254" s="26">
        <v>596.0</v>
      </c>
      <c r="AA254" s="29"/>
      <c r="AI254" s="45"/>
    </row>
    <row r="255">
      <c r="B255" s="24">
        <v>215.0</v>
      </c>
      <c r="C255" s="25" t="s">
        <v>127</v>
      </c>
      <c r="D255" s="26">
        <v>595.0</v>
      </c>
      <c r="K255" s="29"/>
      <c r="S255" s="29"/>
      <c r="T255" s="26">
        <v>596.0</v>
      </c>
      <c r="AA255" s="29"/>
      <c r="AI255" s="45"/>
    </row>
    <row r="256">
      <c r="B256" s="24">
        <v>216.0</v>
      </c>
      <c r="C256" s="25" t="s">
        <v>127</v>
      </c>
      <c r="D256" s="26">
        <v>595.0</v>
      </c>
      <c r="K256" s="29"/>
      <c r="S256" s="29"/>
      <c r="T256" s="26">
        <v>596.0</v>
      </c>
      <c r="AA256" s="29"/>
      <c r="AI256" s="45"/>
    </row>
    <row r="257">
      <c r="B257" s="24">
        <v>217.0</v>
      </c>
      <c r="C257" s="25" t="s">
        <v>127</v>
      </c>
      <c r="D257" s="26">
        <v>595.0</v>
      </c>
      <c r="K257" s="29"/>
      <c r="S257" s="29"/>
      <c r="T257" s="26">
        <v>596.0</v>
      </c>
      <c r="AA257" s="29"/>
      <c r="AI257" s="45"/>
    </row>
    <row r="258">
      <c r="B258" s="24">
        <v>218.0</v>
      </c>
      <c r="C258" s="25" t="s">
        <v>127</v>
      </c>
      <c r="D258" s="26">
        <v>595.0</v>
      </c>
      <c r="K258" s="29"/>
      <c r="S258" s="29"/>
      <c r="T258" s="26">
        <v>596.0</v>
      </c>
      <c r="AA258" s="29"/>
      <c r="AI258" s="45"/>
    </row>
    <row r="259">
      <c r="B259" s="24">
        <v>219.0</v>
      </c>
      <c r="C259" s="25" t="s">
        <v>127</v>
      </c>
      <c r="D259" s="26">
        <v>595.0</v>
      </c>
      <c r="K259" s="29"/>
      <c r="S259" s="29"/>
      <c r="T259" s="26">
        <v>596.0</v>
      </c>
      <c r="AA259" s="29"/>
      <c r="AI259" s="45"/>
    </row>
    <row r="260">
      <c r="B260" s="24">
        <v>220.0</v>
      </c>
      <c r="C260" s="25" t="s">
        <v>127</v>
      </c>
      <c r="D260" s="26">
        <v>595.0</v>
      </c>
      <c r="K260" s="29"/>
      <c r="S260" s="29"/>
      <c r="T260" s="26">
        <v>596.0</v>
      </c>
      <c r="AA260" s="29"/>
      <c r="AI260" s="45"/>
    </row>
    <row r="261">
      <c r="B261" s="24">
        <v>221.0</v>
      </c>
      <c r="C261" s="25" t="s">
        <v>127</v>
      </c>
      <c r="D261" s="26">
        <v>595.0</v>
      </c>
      <c r="K261" s="29"/>
      <c r="S261" s="29"/>
      <c r="T261" s="26">
        <v>596.0</v>
      </c>
      <c r="AA261" s="29"/>
      <c r="AI261" s="45"/>
    </row>
    <row r="262">
      <c r="B262" s="24">
        <v>222.0</v>
      </c>
      <c r="C262" s="25" t="s">
        <v>127</v>
      </c>
      <c r="D262" s="26">
        <v>595.0</v>
      </c>
      <c r="K262" s="29"/>
      <c r="S262" s="29"/>
      <c r="T262" s="26">
        <v>596.0</v>
      </c>
      <c r="AA262" s="29"/>
      <c r="AI262" s="45"/>
    </row>
    <row r="263">
      <c r="B263" s="24">
        <v>223.0</v>
      </c>
      <c r="C263" s="25" t="s">
        <v>127</v>
      </c>
      <c r="D263" s="26">
        <v>595.0</v>
      </c>
      <c r="K263" s="29"/>
      <c r="S263" s="29"/>
      <c r="T263" s="26">
        <v>596.0</v>
      </c>
      <c r="AA263" s="29"/>
      <c r="AI263" s="45"/>
    </row>
    <row r="264">
      <c r="B264" s="24">
        <v>224.0</v>
      </c>
      <c r="C264" s="25" t="s">
        <v>127</v>
      </c>
      <c r="D264" s="26">
        <v>595.0</v>
      </c>
      <c r="K264" s="29"/>
      <c r="S264" s="29"/>
      <c r="T264" s="26">
        <v>596.0</v>
      </c>
      <c r="AA264" s="29"/>
      <c r="AI264" s="45"/>
    </row>
    <row r="265">
      <c r="B265" s="24">
        <v>225.0</v>
      </c>
      <c r="C265" s="25" t="s">
        <v>127</v>
      </c>
      <c r="D265" s="26">
        <v>595.0</v>
      </c>
      <c r="K265" s="29"/>
      <c r="S265" s="29"/>
      <c r="T265" s="26">
        <v>596.0</v>
      </c>
      <c r="AA265" s="29"/>
      <c r="AI265" s="45"/>
    </row>
    <row r="266">
      <c r="B266" s="24">
        <v>226.0</v>
      </c>
      <c r="C266" s="25" t="s">
        <v>127</v>
      </c>
      <c r="D266" s="26">
        <v>595.0</v>
      </c>
      <c r="K266" s="29"/>
      <c r="S266" s="29"/>
      <c r="T266" s="26">
        <v>596.0</v>
      </c>
      <c r="AA266" s="29"/>
      <c r="AI266" s="45"/>
    </row>
    <row r="267">
      <c r="B267" s="24">
        <v>227.0</v>
      </c>
      <c r="C267" s="25" t="s">
        <v>127</v>
      </c>
      <c r="D267" s="26">
        <v>595.0</v>
      </c>
      <c r="K267" s="29"/>
      <c r="S267" s="29"/>
      <c r="T267" s="26">
        <v>596.0</v>
      </c>
      <c r="AA267" s="29"/>
      <c r="AI267" s="45"/>
    </row>
    <row r="268">
      <c r="B268" s="24">
        <v>228.0</v>
      </c>
      <c r="C268" s="25" t="s">
        <v>127</v>
      </c>
      <c r="D268" s="26">
        <v>595.0</v>
      </c>
      <c r="K268" s="29"/>
      <c r="S268" s="29"/>
      <c r="T268" s="26">
        <v>596.0</v>
      </c>
      <c r="AA268" s="29"/>
      <c r="AI268" s="45"/>
    </row>
    <row r="269">
      <c r="B269" s="24">
        <v>229.0</v>
      </c>
      <c r="C269" s="25" t="s">
        <v>127</v>
      </c>
      <c r="D269" s="26">
        <v>595.0</v>
      </c>
      <c r="K269" s="29"/>
      <c r="S269" s="29"/>
      <c r="T269" s="26">
        <v>596.0</v>
      </c>
      <c r="AA269" s="29"/>
      <c r="AI269" s="45"/>
    </row>
    <row r="270">
      <c r="B270" s="24">
        <v>230.0</v>
      </c>
      <c r="C270" s="25" t="s">
        <v>127</v>
      </c>
      <c r="D270" s="26">
        <v>595.0</v>
      </c>
      <c r="K270" s="29"/>
      <c r="S270" s="29"/>
      <c r="T270" s="26">
        <v>596.0</v>
      </c>
      <c r="AA270" s="29"/>
      <c r="AI270" s="45"/>
    </row>
    <row r="271">
      <c r="B271" s="24">
        <v>231.0</v>
      </c>
      <c r="C271" s="25" t="s">
        <v>127</v>
      </c>
      <c r="D271" s="26">
        <v>595.0</v>
      </c>
      <c r="K271" s="29"/>
      <c r="S271" s="29"/>
      <c r="T271" s="26">
        <v>596.0</v>
      </c>
      <c r="AA271" s="29"/>
      <c r="AI271" s="45"/>
    </row>
    <row r="272">
      <c r="B272" s="24">
        <v>232.0</v>
      </c>
      <c r="C272" s="25" t="s">
        <v>127</v>
      </c>
      <c r="D272" s="26">
        <v>595.0</v>
      </c>
      <c r="K272" s="29"/>
      <c r="S272" s="29"/>
      <c r="T272" s="26">
        <v>596.0</v>
      </c>
      <c r="AA272" s="29"/>
      <c r="AI272" s="45"/>
    </row>
    <row r="273">
      <c r="B273" s="24">
        <v>233.0</v>
      </c>
      <c r="C273" s="25" t="s">
        <v>127</v>
      </c>
      <c r="D273" s="26">
        <v>595.0</v>
      </c>
      <c r="K273" s="29"/>
      <c r="S273" s="29"/>
      <c r="T273" s="26">
        <v>596.0</v>
      </c>
      <c r="AA273" s="29"/>
      <c r="AI273" s="45"/>
    </row>
    <row r="274">
      <c r="B274" s="24">
        <v>234.0</v>
      </c>
      <c r="C274" s="25" t="s">
        <v>127</v>
      </c>
      <c r="D274" s="26">
        <v>595.0</v>
      </c>
      <c r="K274" s="29"/>
      <c r="S274" s="29"/>
      <c r="T274" s="26">
        <v>596.0</v>
      </c>
      <c r="AA274" s="29"/>
      <c r="AI274" s="45"/>
    </row>
    <row r="275">
      <c r="B275" s="24">
        <v>235.0</v>
      </c>
      <c r="C275" s="25" t="s">
        <v>127</v>
      </c>
      <c r="D275" s="26">
        <v>595.0</v>
      </c>
      <c r="K275" s="29"/>
      <c r="S275" s="29"/>
      <c r="T275" s="26">
        <v>596.0</v>
      </c>
      <c r="AA275" s="29"/>
      <c r="AI275" s="45"/>
    </row>
    <row r="276">
      <c r="B276" s="24">
        <v>236.0</v>
      </c>
      <c r="C276" s="25" t="s">
        <v>127</v>
      </c>
      <c r="D276" s="26">
        <v>595.0</v>
      </c>
      <c r="K276" s="29"/>
      <c r="S276" s="29"/>
      <c r="T276" s="26">
        <v>596.0</v>
      </c>
      <c r="AA276" s="29"/>
      <c r="AI276" s="45"/>
    </row>
    <row r="277">
      <c r="B277" s="24">
        <v>237.0</v>
      </c>
      <c r="C277" s="25" t="s">
        <v>127</v>
      </c>
      <c r="D277" s="26">
        <v>595.0</v>
      </c>
      <c r="K277" s="29"/>
      <c r="S277" s="29"/>
      <c r="T277" s="26">
        <v>596.0</v>
      </c>
      <c r="AA277" s="29"/>
      <c r="AI277" s="45"/>
    </row>
    <row r="278">
      <c r="B278" s="24">
        <v>238.0</v>
      </c>
      <c r="C278" s="25" t="s">
        <v>127</v>
      </c>
      <c r="D278" s="26">
        <v>595.0</v>
      </c>
      <c r="K278" s="29"/>
      <c r="S278" s="29"/>
      <c r="T278" s="26">
        <v>596.0</v>
      </c>
      <c r="AA278" s="29"/>
      <c r="AI278" s="45"/>
    </row>
    <row r="279">
      <c r="B279" s="24">
        <v>239.0</v>
      </c>
      <c r="C279" s="25" t="s">
        <v>127</v>
      </c>
      <c r="D279" s="26">
        <v>595.0</v>
      </c>
      <c r="K279" s="29"/>
      <c r="S279" s="29"/>
      <c r="T279" s="26">
        <v>596.0</v>
      </c>
      <c r="AA279" s="29"/>
      <c r="AI279" s="45"/>
    </row>
    <row r="280">
      <c r="B280" s="24">
        <v>240.0</v>
      </c>
      <c r="C280" s="25" t="s">
        <v>127</v>
      </c>
      <c r="D280" s="26">
        <v>595.0</v>
      </c>
      <c r="K280" s="29"/>
      <c r="S280" s="29"/>
      <c r="T280" s="26">
        <v>596.0</v>
      </c>
      <c r="AA280" s="29"/>
      <c r="AI280" s="45"/>
    </row>
    <row r="281">
      <c r="B281" s="24">
        <v>241.0</v>
      </c>
      <c r="C281" s="25" t="s">
        <v>127</v>
      </c>
      <c r="D281" s="26">
        <v>595.0</v>
      </c>
      <c r="K281" s="29"/>
      <c r="S281" s="29"/>
      <c r="T281" s="26">
        <v>596.0</v>
      </c>
      <c r="AA281" s="29"/>
      <c r="AI281" s="45"/>
    </row>
    <row r="282">
      <c r="B282" s="24">
        <v>242.0</v>
      </c>
      <c r="C282" s="25" t="s">
        <v>127</v>
      </c>
      <c r="D282" s="26">
        <v>595.0</v>
      </c>
      <c r="K282" s="29"/>
      <c r="S282" s="29"/>
      <c r="T282" s="26">
        <v>596.0</v>
      </c>
      <c r="AA282" s="29"/>
      <c r="AI282" s="45"/>
    </row>
    <row r="283">
      <c r="B283" s="24">
        <v>243.0</v>
      </c>
      <c r="C283" s="25" t="s">
        <v>127</v>
      </c>
      <c r="D283" s="26">
        <v>595.0</v>
      </c>
      <c r="K283" s="29"/>
      <c r="S283" s="29"/>
      <c r="T283" s="26">
        <v>596.0</v>
      </c>
      <c r="AA283" s="29"/>
      <c r="AI283" s="45"/>
    </row>
    <row r="284">
      <c r="B284" s="24">
        <v>244.0</v>
      </c>
      <c r="C284" s="25" t="s">
        <v>127</v>
      </c>
      <c r="D284" s="26">
        <v>595.0</v>
      </c>
      <c r="K284" s="29"/>
      <c r="S284" s="29"/>
      <c r="T284" s="26">
        <v>596.0</v>
      </c>
      <c r="AA284" s="29"/>
      <c r="AI284" s="45"/>
    </row>
    <row r="285">
      <c r="B285" s="24">
        <v>245.0</v>
      </c>
      <c r="C285" s="25" t="s">
        <v>127</v>
      </c>
      <c r="D285" s="26">
        <v>595.0</v>
      </c>
      <c r="K285" s="29"/>
      <c r="S285" s="29"/>
      <c r="T285" s="26">
        <v>596.0</v>
      </c>
      <c r="AA285" s="29"/>
      <c r="AI285" s="45"/>
    </row>
    <row r="286">
      <c r="B286" s="24">
        <v>246.0</v>
      </c>
      <c r="C286" s="25" t="s">
        <v>127</v>
      </c>
      <c r="D286" s="26">
        <v>595.0</v>
      </c>
      <c r="K286" s="29"/>
      <c r="S286" s="29"/>
      <c r="T286" s="26">
        <v>596.0</v>
      </c>
      <c r="AA286" s="29"/>
      <c r="AI286" s="45"/>
    </row>
    <row r="287">
      <c r="B287" s="24">
        <v>247.0</v>
      </c>
      <c r="C287" s="25" t="s">
        <v>127</v>
      </c>
      <c r="D287" s="26">
        <v>595.0</v>
      </c>
      <c r="K287" s="29"/>
      <c r="S287" s="29"/>
      <c r="T287" s="26">
        <v>596.0</v>
      </c>
      <c r="AA287" s="29"/>
      <c r="AI287" s="45"/>
    </row>
    <row r="288">
      <c r="B288" s="24">
        <v>248.0</v>
      </c>
      <c r="C288" s="25" t="s">
        <v>127</v>
      </c>
      <c r="D288" s="26">
        <v>595.0</v>
      </c>
      <c r="K288" s="29"/>
      <c r="S288" s="29"/>
      <c r="T288" s="26">
        <v>596.0</v>
      </c>
      <c r="AA288" s="29"/>
      <c r="AI288" s="45"/>
    </row>
    <row r="289">
      <c r="B289" s="24">
        <v>249.0</v>
      </c>
      <c r="C289" s="25" t="s">
        <v>127</v>
      </c>
      <c r="D289" s="26">
        <v>595.0</v>
      </c>
      <c r="K289" s="29"/>
      <c r="S289" s="29"/>
      <c r="T289" s="26">
        <v>596.0</v>
      </c>
      <c r="AA289" s="29"/>
      <c r="AI289" s="45"/>
    </row>
    <row r="290">
      <c r="B290" s="24">
        <v>250.0</v>
      </c>
      <c r="C290" s="25" t="s">
        <v>127</v>
      </c>
      <c r="D290" s="26">
        <v>595.0</v>
      </c>
      <c r="K290" s="29"/>
      <c r="S290" s="29"/>
      <c r="T290" s="26">
        <v>596.0</v>
      </c>
      <c r="AA290" s="29"/>
      <c r="AI290" s="45"/>
    </row>
    <row r="291">
      <c r="B291" s="24">
        <v>251.0</v>
      </c>
      <c r="C291" s="25" t="s">
        <v>127</v>
      </c>
      <c r="D291" s="26">
        <v>595.0</v>
      </c>
      <c r="K291" s="29"/>
      <c r="S291" s="29"/>
      <c r="T291" s="26">
        <v>596.0</v>
      </c>
      <c r="AA291" s="29"/>
      <c r="AI291" s="45"/>
    </row>
    <row r="292">
      <c r="B292" s="24">
        <v>252.0</v>
      </c>
      <c r="C292" s="25" t="s">
        <v>127</v>
      </c>
      <c r="D292" s="26">
        <v>595.0</v>
      </c>
      <c r="K292" s="29"/>
      <c r="S292" s="29"/>
      <c r="T292" s="26">
        <v>596.0</v>
      </c>
      <c r="AA292" s="29"/>
      <c r="AI292" s="45"/>
    </row>
    <row r="293">
      <c r="B293" s="24">
        <v>253.0</v>
      </c>
      <c r="C293" s="25" t="s">
        <v>127</v>
      </c>
      <c r="D293" s="26">
        <v>595.0</v>
      </c>
      <c r="K293" s="29"/>
      <c r="S293" s="29"/>
      <c r="T293" s="26">
        <v>596.0</v>
      </c>
      <c r="AA293" s="29"/>
      <c r="AI293" s="45"/>
    </row>
    <row r="294">
      <c r="B294" s="38">
        <v>254.0</v>
      </c>
      <c r="C294" s="39" t="s">
        <v>127</v>
      </c>
      <c r="D294" s="40">
        <v>595.0</v>
      </c>
      <c r="E294" s="40"/>
      <c r="F294" s="46"/>
      <c r="G294" s="46"/>
      <c r="H294" s="46"/>
      <c r="I294" s="46"/>
      <c r="J294" s="46"/>
      <c r="K294" s="47"/>
      <c r="L294" s="46"/>
      <c r="M294" s="46"/>
      <c r="N294" s="46"/>
      <c r="O294" s="46"/>
      <c r="P294" s="46"/>
      <c r="Q294" s="46"/>
      <c r="R294" s="46"/>
      <c r="S294" s="47"/>
      <c r="T294" s="40">
        <v>596.0</v>
      </c>
      <c r="U294" s="46"/>
      <c r="V294" s="46"/>
      <c r="W294" s="46"/>
      <c r="X294" s="46"/>
      <c r="Y294" s="46"/>
      <c r="Z294" s="46"/>
      <c r="AA294" s="47"/>
      <c r="AB294" s="46"/>
      <c r="AC294" s="46"/>
      <c r="AD294" s="46"/>
      <c r="AE294" s="46"/>
      <c r="AF294" s="46"/>
      <c r="AG294" s="46"/>
      <c r="AH294" s="46"/>
      <c r="AI294" s="48"/>
    </row>
  </sheetData>
  <mergeCells count="10">
    <mergeCell ref="L38:S38"/>
    <mergeCell ref="T38:AA38"/>
    <mergeCell ref="AB38:AI38"/>
    <mergeCell ref="B4:B6"/>
    <mergeCell ref="C4:M34"/>
    <mergeCell ref="P4:Q6"/>
    <mergeCell ref="R4:AB34"/>
    <mergeCell ref="B38:B39"/>
    <mergeCell ref="C38:C39"/>
    <mergeCell ref="D38:K3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3" max="3" width="18.63"/>
    <col customWidth="1" min="5" max="36" width="7.63"/>
  </cols>
  <sheetData>
    <row r="4">
      <c r="B4" s="1" t="s">
        <v>0</v>
      </c>
      <c r="C4" s="2" t="str">
        <f>IFERROR(__xludf.DUMMYFUNCTION("CONCATENATE(JOIN("""", TOROW(MAP({D39:AJ73}, LAMBDA(cell, IF(ISBLANK(cell), DEC2HEX(65535), CONCATENATE(RIGHT(DEC2HEX(cell, 4), 2), LEFT(DEC2HEX(cell, 4), 2))   ) )))), ""0000"")       "),"000000000000FFFFFFFFFFFFFFFFFFFFFFFF01000100FFFFFFFFFFFFFFFFFFFFFFFFFFFFFFFFFFFFFFFFFFFFFFFFFFFFFFFFFFFFFFFFFFFFFFFFFFFFFFFFFFFFFFFF00000200020003000300040004000500050006000600070007000800080009000900FFFFFFFFFFFFFFFFFFFFFFFFFFFFFFFFFFFFFFFFFFFFFFFFFFFFFFF"&amp;"FFFFFFFFF00000A000A00FFFFFFFFFFFFFFFFFFFFFFFFFFFFFFFFFFFFFFFFFFFFFFFFFFFFFFFFFFFFFFFFFFFFFFFFFFFFFFFFFFFFFFFFFFFFFFFFFFFFFFFFFFFFFFFFFFFFFFFF00000B000B00FFFFFFFFFFFFFFFFFFFFFFFFFFFFFFFFFFFFFFFFFFFFFFFFFFFFFFFFFFFFFFFFFFFFFFFFFFFFFFFFFFFFFFFFFFFFFFFFFFFFFF"&amp;"FFFFFFFFFFFFFFFFFF00000C000D00FFFFFFFFFFFFFFFFFFFFFFFFFFFFFFFFFFFFFFFFFFFFFFFFFFFFFFFFFFFFFFFFFFFFFFFFFFFFFFFFFFFFFFFFFFFFFFFFFFFFFFFFFFFFFFFFFFFFFFFF00000E000F00FFFFFFFFFFFFFFFFFFFFFFFF10001100FFFFFFFFFFFFFFFFFFFFFFFFFFFFFFFFFFFFFFFFFFFFFFFFFFFFFFFFFFFFF"&amp;"FFFFFFFFFFFFFFFFFFFFFFFFFFF00000E000F000E000F000E000F000E000F0010001100100011001000110010001100FFFFFFFFFFFFFFFFFFFFFFFFFFFFFFFFFFFFFFFFFFFFFFFFFFFFFFFFFFFFFFFF000012001300FFFFFFFFFFFFFFFFFFFFFFFF14001500FFFFFFFFFFFFFFFFFFFFFFFFFFFFFFFFFFFFFFFFFFFFFFFFFFFF"&amp;"FFFFFFFFFFFFFFFFFFFFFFFFFFFFFFFFFFFF000016001600FFFFFFFFFFFFFFFFFFFFFFFFFFFFFFFFFFFFFFFFFFFFFFFFFFFFFFFF17001700FFFFFFFFFFFFFFFFFFFFFFFFFFFFFFFFFFFFFFFFFFFFFFFFFFFFFFFF000018001800FFFFFFFFFFFFFFFFFFFFFFFFFFFFFFFFFFFFFFFFFFFFFFFFFFFFFFFF19001900FFFFFFFFFFF"&amp;"FFFFFFFFFFFFFFFFFFFFFFFFFFFFFFFFFFFFFFFFFFFFF00001A001A00FFFFFFFFFFFFFFFFFFFFFFFFFFFFFFFFFFFFFFFFFFFFFFFFFFFFFFFFFFFFFFFFFFFFFFFFFFFFFFFFFFFFFFFFFFFFFFFFFFFFFFFFFFFFFFFFFFFFFFFF00001B001B00FFFFFFFFFFFFFFFFFFFFFFFFFFFFFFFFFFFFFFFFFFFFFFFFFFFFFFFFFFFFFFFFFF"&amp;"FFFFFFFFFFFFFFFFFFFFFFFFFFFFFFFFFFFFFFFFFFFFFFFFFFFFFF00001C001C00FFFFFFFFFFFFFFFFFFFFFFFF1D001D00FFFFFFFFFFFFFFFFFFFFFFFFFFFFFFFFFFFFFFFFFFFFFFFFFFFFFFFFFFFFFFFFFFFFFFFFFFFFFFFFFFFFFFFF00001E001E00FFFFFFFFFFFFFFFFFFFFFFFFFFFFFFFFFFFFFFFFFFFFFFFFFFFFFFFFF"&amp;"FFFFFFFFFFFFFFFFFFFFFFFFFFFFFFFFFFFFFFFFFFFFFFFFFFFFFFFFFFFFFFF00001F001F00FFFFFFFFFFFFFFFFFFFFFFFFFFFFFFFFFFFFFFFFFFFFFFFFFFFFFFFFFFFFFFFFFFFFFFFFFFFFFFFFFFFFFFFFFFFFFFFFFFFFFFFFFFFFFFFFFFFFFFFF000020002000FFFFFFFFFFFFFFFFFFFFFFFFFFFFFFFFFFFFFFFFFFFFFFFF"&amp;"FFFFFFFFFFFFFFFFFFFFFFFFFFFFFFFFFFFFFFFFFFFFFFFFFFFFFFFFFFFFFFFFFFFFFFFF000021002100FFFFFFFFFFFFFFFFFFFFFFFFFFFFFFFFFFFFFFFFFFFFFFFFFFFFFFFFFFFFFFFFFFFFFFFFFFFFFFFFFFFFFFFFFFFFFFFFFFFFFFFFFFFFFFFFFFFFFFFF000022002200FFFFFFFFFFFFFFFFFFFFFFFFFFFFFFFFFFFFFFF"&amp;"FFFFFFFFFFFFFFFFFFFFFFFFFFFFFFFFFFFFFFFFFFFFFFFFFFFFFFFFFFFFFFFFFFFFFFFFFFFFFFFFF000023002300FFFFFFFFFFFFFFFFFFFFFFFFFFFFFFFFFFFFFFFFFFFFFFFFFFFFFFFFFFFFFFFFFFFFFFFFFFFFFFFFFFFFFFFFFFFFFFFFFFFFFFFFFFFFFFFFFFFFFFFF000024002400FFFFFFFFFFFFFFFFFFFFFFFFFFFFFF"&amp;"FFFFFFFFFFFFFFFFFFFFFFFFFFFFFFFFFFFFFFFFFFFFFFFFFFFFFFFFFFFFFFFFFFFFFFFFFFFFFFFFFFFFFFFFFF000025002500FFFFFFFFFFFFFFFFFFFFFFFFFFFFFFFFFFFFFFFFFFFFFFFFFFFFFFFFFFFFFFFFFFFFFFFFFFFFFFFFFFFFFFFFFFFFFFFFFFFFFFFFFFFFFFFFFFFFFFFF000026002600FFFFFFFFFFFFFFFFFFFFF"&amp;"FFFFFFFFFFFFFFFFFFFFFFFFFFFFFFFFFFFFFFFFFFFFFFFFFFFFFFFFFFFFFFFFFFFFFFFFFFFFFFFFFFFFFFFFFFFFFFFFFFF00002700280029002A002B002C002D002E002F003000310032003300340035003600FFFFFFFFFFFFFFFFFFFFFFFFFFFFFFFFFFFFFFFFFFFFFFFFFFFFFFFFFFFFFFFF000037003800FFFFFFFFFFFF"&amp;"FFFFFFFFFFFF39003A00FFFFFFFFFFFFFFFFFFFFFFFFFFFFFFFFFFFFFFFFFFFFFFFFFFFFFFFFFFFFFFFFFFFFFFFFFFFFFFFFFFFFFFFF00003B003C00FFFFFFFFFFFFFFFFFFFFFFFFFFFFFFFFFFFFFFFFFFFFFFFFFFFFFFFFFFFFFFFFFFFFFFFFFFFFFFFFFFFFFFFFFFFFFFFFFFFFFFFFFFFFFFFFFFFFFFFF00003D003D00FFF"&amp;"FFFFFFFFFFFFFFFFFFFFF3E003E00FFFFFFFFFFFFFFFFFFFFFFFFFFFFFFFFFFFFFFFFFFFFFFFFFFFFFFFFFFFFFFFFFFFFFFFFFFFFFFFFFFFFFFFF00003F003F00FFFFFFFFFFFFFFFFFFFFFFFFFFFFFFFFFFFFFFFFFFFFFFFFFFFFFFFFFFFFFFFFFFFFFFFFFFFFFFFFFFFFFFFFFFFFFFFFFFFFFFFFFFFFFFFFFFFFFFFF000040"&amp;"004000FFFFFFFFFFFFFFFFFFFFFFFFFFFFFFFFFFFFFFFFFFFFFFFFFFFFFFFFFFFFFFFFFFFFFFFFFFFFFFFFFFFFFFFFFFFFFFFFFFFFFFFFFFFFFFFFFFFFFFFF000041004200FFFFFFFFFFFFFFFFFFFFFFFFFFFFFFFFFFFFFFFFFFFFFFFFFFFFFFFFFFFFFFFFFFFFFFFFFFFFFFFFFFFFFFFFFFFFFFFFFFFFFFFFFFFFFFFFFFFFF"&amp;"FFF000043004300FFFFFFFFFFFFFFFFFFFFFFFFFFFFFFFFFFFFFFFFFFFFFFFFFFFFFFFFFFFFFFFFFFFFFFFFFFFFFFFFFFFFFFFFFFFFFFFFFFFFFFFFFFFFFFFFFFFFFFFF000044004400FFFFFFFFFFFFFFFFFFFFFFFFFFFFFFFFFFFFFFFFFFFFFFFFFFFFFFFFFFFFFFFFFFFFFFFFFFFFFFFFFFFFFFFFFFFFFFFFFFFFFFFFFFFF"&amp;"FFFFFFFFFFFF000045004500FFFFFFFFFFFFFFFFFFFFFFFFFFFFFFFFFFFFFFFFFFFFFFFFFFFFFFFFFFFFFFFFFFFFFFFFFFFFFFFFFFFFFFFFFFFFFFFFFFFFFFFFFFFFFFFFFFFFFFFF000046004600FFFFFFFFFFFFFFFFFFFFFFFFFFFFFFFFFFFFFFFFFFFFFFFFFFFFFFFFFFFFFFFFFFFFFFFFFFFFFFFFFFFFFFFFFFFFFFFFFFF"&amp;"FFFFFFFFFFFFFFFFFFFFF000047004700FFFFFFFFFFFFFFFFFFFFFFFFFFFFFFFFFFFFFFFFFFFFFFFFFFFFFFFFFFFFFFFFFFFFFFFFFFFFFFFFFFFFFFFFFFFFFFFFFFFFFFFFFFFFFFFFFFFFFFFF000048004900FFFFFFFFFFFFFFFFFFFFFFFFFFFFFFFFFFFFFFFFFFFFFFFFFFFFFFFFFFFFFFFFFFFFFFFFFFFFFFFFFFFFFFFFFF"&amp;"FFFFFFFFFFFFFFFFFFFFFFFFFFFFFF0000")</f>
        <v>000000000000FFFFFFFFFFFFFFFFFFFFFFFF01000100FFFFFFFFFFFFFFFFFFFFFFFFFFFFFFFFFFFFFFFFFFFFFFFFFFFFFFFFFFFFFFFFFFFFFFFFFFFFFFFFFFFFFFFF00000200020003000300040004000500050006000600070007000800080009000900FFFFFFFFFFFFFFFFFFFFFFFFFFFFFFFFFFFFFFFFFFFFFFFFFFFFFFFFFFFFFFFF00000A000A00FFFFFFFFFFFFFFFFFFFFFFFFFFFFFFFFFFFFFFFFFFFFFFFFFFFFFFFFFFFFFFFFFFFFFFFFFFFFFFFFFFFFFFFFFFFFFFFFFFFFFFFFFFFFFFFFFFFFFFFF00000B000B00FFFFFFFFFFFFFFFFFFFFFFFFFFFFFFFFFFFFFFFFFFFFFFFFFFFFFFFFFFFFFFFFFFFFFFFFFFFFFFFFFFFFFFFFFFFFFFFFFFFFFFFFFFFFFFFFFFFFFFFF00000C000D00FFFFFFFFFFFFFFFFFFFFFFFFFFFFFFFFFFFFFFFFFFFFFFFFFFFFFFFFFFFFFFFFFFFFFFFFFFFFFFFFFFFFFFFFFFFFFFFFFFFFFFFFFFFFFFFFFFFFFFFF00000E000F00FFFFFFFFFFFFFFFFFFFFFFFF10001100FFFFFFFFFFFFFFFFFFFFFFFFFFFFFFFFFFFFFFFFFFFFFFFFFFFFFFFFFFFFFFFFFFFFFFFFFFFFFFFFFFFFFFFF00000E000F000E000F000E000F000E000F0010001100100011001000110010001100FFFFFFFFFFFFFFFFFFFFFFFFFFFFFFFFFFFFFFFFFFFFFFFFFFFFFFFFFFFFFFFF000012001300FFFFFFFFFFFFFFFFFFFFFFFF14001500FFFFFFFFFFFFFFFFFFFFFFFFFFFFFFFFFFFFFFFFFFFFFFFFFFFFFFFFFFFFFFFFFFFFFFFFFFFFFFFFFFFFFFFF000016001600FFFFFFFFFFFFFFFFFFFFFFFFFFFFFFFFFFFFFFFFFFFFFFFFFFFFFFFF17001700FFFFFFFFFFFFFFFFFFFFFFFFFFFFFFFFFFFFFFFFFFFFFFFFFFFFFFFF000018001800FFFFFFFFFFFFFFFFFFFFFFFFFFFFFFFFFFFFFFFFFFFFFFFFFFFFFFFF19001900FFFFFFFFFFFFFFFFFFFFFFFFFFFFFFFFFFFFFFFFFFFFFFFFFFFFFFFF00001A001A00FFFFFFFFFFFFFFFFFFFFFFFFFFFFFFFFFFFFFFFFFFFFFFFFFFFFFFFFFFFFFFFFFFFFFFFFFFFFFFFFFFFFFFFFFFFFFFFFFFFFFFFFFFFFFFFFFFFFFFFF00001B001B00FFFFFFFFFFFFFFFFFFFFFFFFFFFFFFFFFFFFFFFFFFFFFFFFFFFFFFFFFFFFFFFFFFFFFFFFFFFFFFFFFFFFFFFFFFFFFFFFFFFFFFFFFFFFFFFFFFFFFFFF00001C001C00FFFFFFFFFFFFFFFFFFFFFFFF1D001D00FFFFFFFFFFFFFFFFFFFFFFFFFFFFFFFFFFFFFFFFFFFFFFFFFFFFFFFFFFFFFFFFFFFFFFFFFFFFFFFFFFFFFFFF00001E001E00FFFFFFFFFFFFFFFFFFFFFFFFFFFFFFFFFFFFFFFFFFFFFFFFFFFFFFFFFFFFFFFFFFFFFFFFFFFFFFFFFFFFFFFFFFFFFFFFFFFFFFFFFFFFFFFFFFFFFFFF00001F001F00FFFFFFFFFFFFFFFFFFFFFFFFFFFFFFFFFFFFFFFFFFFFFFFFFFFFFFFFFFFFFFFFFFFFFFFFFFFFFFFFFFFFFFFFFFFFFFFFFFFFFFFFFFFFFFFFFFFFFFFF000020002000FFFFFFFFFFFFFFFFFFFFFFFFFFFFFFFFFFFFFFFFFFFFFFFFFFFFFFFFFFFFFFFFFFFFFFFFFFFFFFFFFFFFFFFFFFFFFFFFFFFFFFFFFFFFFFFFFFFFFFFF000021002100FFFFFFFFFFFFFFFFFFFFFFFFFFFFFFFFFFFFFFFFFFFFFFFFFFFFFFFFFFFFFFFFFFFFFFFFFFFFFFFFFFFFFFFFFFFFFFFFFFFFFFFFFFFFFFFFFFFFFFFF000022002200FFFFFFFFFFFFFFFFFFFFFFFFFFFFFFFFFFFFFFFFFFFFFFFFFFFFFFFFFFFFFFFFFFFFFFFFFFFFFFFFFFFFFFFFFFFFFFFFFFFFFFFFFFFFFFFFFFFFFFFF000023002300FFFFFFFFFFFFFFFFFFFFFFFFFFFFFFFFFFFFFFFFFFFFFFFFFFFFFFFFFFFFFFFFFFFFFFFFFFFFFFFFFFFFFFFFFFFFFFFFFFFFFFFFFFFFFFFFFFFFFFFF000024002400FFFFFFFFFFFFFFFFFFFFFFFFFFFFFFFFFFFFFFFFFFFFFFFFFFFFFFFFFFFFFFFFFFFFFFFFFFFFFFFFFFFFFFFFFFFFFFFFFFFFFFFFFFFFFFFFFFFFFFFF000025002500FFFFFFFFFFFFFFFFFFFFFFFFFFFFFFFFFFFFFFFFFFFFFFFFFFFFFFFFFFFFFFFFFFFFFFFFFFFFFFFFFFFFFFFFFFFFFFFFFFFFFFFFFFFFFFFFFFFFFFFF000026002600FFFFFFFFFFFFFFFFFFFFFFFFFFFFFFFFFFFFFFFFFFFFFFFFFFFFFFFFFFFFFFFFFFFFFFFFFFFFFFFFFFFFFFFFFFFFFFFFFFFFFFFFFFFFFFFFFFFFFFFF00002700280029002A002B002C002D002E002F003000310032003300340035003600FFFFFFFFFFFFFFFFFFFFFFFFFFFFFFFFFFFFFFFFFFFFFFFFFFFFFFFFFFFFFFFF000037003800FFFFFFFFFFFFFFFFFFFFFFFF39003A00FFFFFFFFFFFFFFFFFFFFFFFFFFFFFFFFFFFFFFFFFFFFFFFFFFFFFFFFFFFFFFFFFFFFFFFFFFFFFFFFFFFFFFFF00003B003C00FFFFFFFFFFFFFFFFFFFFFFFFFFFFFFFFFFFFFFFFFFFFFFFFFFFFFFFFFFFFFFFFFFFFFFFFFFFFFFFFFFFFFFFFFFFFFFFFFFFFFFFFFFFFFFFFFFFFFFFF00003D003D00FFFFFFFFFFFFFFFFFFFFFFFF3E003E00FFFFFFFFFFFFFFFFFFFFFFFFFFFFFFFFFFFFFFFFFFFFFFFFFFFFFFFFFFFFFFFFFFFFFFFFFFFFFFFFFFFFFFFF00003F003F00FFFFFFFFFFFFFFFFFFFFFFFFFFFFFFFFFFFFFFFFFFFFFFFFFFFFFFFFFFFFFFFFFFFFFFFFFFFFFFFFFFFFFFFFFFFFFFFFFFFFFFFFFFFFFFFFFFFFFFFF000040004000FFFFFFFFFFFFFFFFFFFFFFFFFFFFFFFFFFFFFFFFFFFFFFFFFFFFFFFFFFFFFFFFFFFFFFFFFFFFFFFFFFFFFFFFFFFFFFFFFFFFFFFFFFFFFFFFFFFFFFFF000041004200FFFFFFFFFFFFFFFFFFFFFFFFFFFFFFFFFFFFFFFFFFFFFFFFFFFFFFFFFFFFFFFFFFFFFFFFFFFFFFFFFFFFFFFFFFFFFFFFFFFFFFFFFFFFFFFFFFFFFFFF000043004300FFFFFFFFFFFFFFFFFFFFFFFFFFFFFFFFFFFFFFFFFFFFFFFFFFFFFFFFFFFFFFFFFFFFFFFFFFFFFFFFFFFFFFFFFFFFFFFFFFFFFFFFFFFFFFFFFFFFFFFF000044004400FFFFFFFFFFFFFFFFFFFFFFFFFFFFFFFFFFFFFFFFFFFFFFFFFFFFFFFFFFFFFFFFFFFFFFFFFFFFFFFFFFFFFFFFFFFFFFFFFFFFFFFFFFFFFFFFFFFFFFFF000045004500FFFFFFFFFFFFFFFFFFFFFFFFFFFFFFFFFFFFFFFFFFFFFFFFFFFFFFFFFFFFFFFFFFFFFFFFFFFFFFFFFFFFFFFFFFFFFFFFFFFFFFFFFFFFFFFFFFFFFFFF000046004600FFFFFFFFFFFFFFFFFFFFFFFFFFFFFFFFFFFFFFFFFFFFFFFFFFFFFFFFFFFFFFFFFFFFFFFFFFFFFFFFFFFFFFFFFFFFFFFFFFFFFFFFFFFFFFFFFFFFFFFF000047004700FFFFFFFFFFFFFFFFFFFFFFFFFFFFFFFFFFFFFFFFFFFFFFFFFFFFFFFFFFFFFFFFFFFFFFFFFFFFFFFFFFFFFFFFFFFFFFFFFFFFFFFFFFFFFFFFFFFFFFFF000048004900FFFFFFFFFFFFFFFFFFFFFFFFFFFFFFFFFFFFFFFFFFFFFFFFFFFFFFFFFFFFFFFFFFFFFFFFFFFFFFFFFFFFFFFFFFFFFFFFFFFFFFFFFFFFFFFFFFFFFFFF0000</v>
      </c>
      <c r="D4" s="3"/>
      <c r="E4" s="3"/>
      <c r="F4" s="3"/>
      <c r="G4" s="3"/>
      <c r="H4" s="3"/>
      <c r="I4" s="3"/>
      <c r="J4" s="3"/>
      <c r="K4" s="3"/>
      <c r="L4" s="3"/>
      <c r="M4" s="4"/>
      <c r="P4" s="5" t="s">
        <v>1</v>
      </c>
      <c r="Q4" s="4"/>
      <c r="R4" s="2" t="str">
        <f>IFERROR(__xludf.DUMMYFUNCTION("CONCATENATE(JOIN("""", TOROW(MAP({D39:AJ82}, LAMBDA(cell, IF(ISBLANK(cell), DEC2HEX(65535), CONCATENATE(RIGHT(DEC2HEX(cell, 4), 2), LEFT(DEC2HEX(cell, 4), 2))   ) )))), ""0000"")       "),"000000000000FFFFFFFFFFFFFFFFFFFFFFFF01000100FFFFFFFFFFFFFFFFFFFFFFFFFFFFFFFFFFFFFFFFFFFFFFFFFFFFFFFFFFFFFFFFFFFFFFFFFFFFFFFFFFFFFFFF00000200020003000300040004000500050006000600070007000800080009000900FFFFFFFFFFFFFFFFFFFFFFFFFFFFFFFFFFFFFFFFFFFFFFFFFFFFFFF"&amp;"FFFFFFFFF00000A000A00FFFFFFFFFFFFFFFFFFFFFFFFFFFFFFFFFFFFFFFFFFFFFFFFFFFFFFFFFFFFFFFFFFFFFFFFFFFFFFFFFFFFFFFFFFFFFFFFFFFFFFFFFFFFFFFFFFFFFFFF00000B000B00FFFFFFFFFFFFFFFFFFFFFFFFFFFFFFFFFFFFFFFFFFFFFFFFFFFFFFFFFFFFFFFFFFFFFFFFFFFFFFFFFFFFFFFFFFFFFFFFFFFFFF"&amp;"FFFFFFFFFFFFFFFFFF00000C000D00FFFFFFFFFFFFFFFFFFFFFFFFFFFFFFFFFFFFFFFFFFFFFFFFFFFFFFFFFFFFFFFFFFFFFFFFFFFFFFFFFFFFFFFFFFFFFFFFFFFFFFFFFFFFFFFFFFFFFFFF00000E000F00FFFFFFFFFFFFFFFFFFFFFFFF10001100FFFFFFFFFFFFFFFFFFFFFFFFFFFFFFFFFFFFFFFFFFFFFFFFFFFFFFFFFFFFF"&amp;"FFFFFFFFFFFFFFFFFFFFFFFFFFF00000E000F000E000F000E000F000E000F0010001100100011001000110010001100FFFFFFFFFFFFFFFFFFFFFFFFFFFFFFFFFFFFFFFFFFFFFFFFFFFFFFFFFFFFFFFF000012001300FFFFFFFFFFFFFFFFFFFFFFFF14001500FFFFFFFFFFFFFFFFFFFFFFFFFFFFFFFFFFFFFFFFFFFFFFFFFFFF"&amp;"FFFFFFFFFFFFFFFFFFFFFFFFFFFFFFFFFFFF000016001600FFFFFFFFFFFFFFFFFFFFFFFFFFFFFFFFFFFFFFFFFFFFFFFFFFFFFFFF17001700FFFFFFFFFFFFFFFFFFFFFFFFFFFFFFFFFFFFFFFFFFFFFFFFFFFFFFFF000018001800FFFFFFFFFFFFFFFFFFFFFFFFFFFFFFFFFFFFFFFFFFFFFFFFFFFFFFFF19001900FFFFFFFFFFF"&amp;"FFFFFFFFFFFFFFFFFFFFFFFFFFFFFFFFFFFFFFFFFFFFF00001A001A00FFFFFFFFFFFFFFFFFFFFFFFFFFFFFFFFFFFFFFFFFFFFFFFFFFFFFFFFFFFFFFFFFFFFFFFFFFFFFFFFFFFFFFFFFFFFFFFFFFFFFFFFFFFFFFFFFFFFFFFF00001B001B00FFFFFFFFFFFFFFFFFFFFFFFFFFFFFFFFFFFFFFFFFFFFFFFFFFFFFFFFFFFFFFFFFF"&amp;"FFFFFFFFFFFFFFFFFFFFFFFFFFFFFFFFFFFFFFFFFFFFFFFFFFFFFF00001C001C00FFFFFFFFFFFFFFFFFFFFFFFF1D001D00FFFFFFFFFFFFFFFFFFFFFFFFFFFFFFFFFFFFFFFFFFFFFFFFFFFFFFFFFFFFFFFFFFFFFFFFFFFFFFFFFFFFFFFF00001E001E00FFFFFFFFFFFFFFFFFFFFFFFFFFFFFFFFFFFFFFFFFFFFFFFFFFFFFFFFF"&amp;"FFFFFFFFFFFFFFFFFFFFFFFFFFFFFFFFFFFFFFFFFFFFFFFFFFFFFFFFFFFFFFF00001F001F00FFFFFFFFFFFFFFFFFFFFFFFFFFFFFFFFFFFFFFFFFFFFFFFFFFFFFFFFFFFFFFFFFFFFFFFFFFFFFFFFFFFFFFFFFFFFFFFFFFFFFFFFFFFFFFFFFFFFFFFF000020002000FFFFFFFFFFFFFFFFFFFFFFFFFFFFFFFFFFFFFFFFFFFFFFFF"&amp;"FFFFFFFFFFFFFFFFFFFFFFFFFFFFFFFFFFFFFFFFFFFFFFFFFFFFFFFFFFFFFFFFFFFFFFFF000021002100FFFFFFFFFFFFFFFFFFFFFFFFFFFFFFFFFFFFFFFFFFFFFFFFFFFFFFFFFFFFFFFFFFFFFFFFFFFFFFFFFFFFFFFFFFFFFFFFFFFFFFFFFFFFFFFFFFFFFFFF000022002200FFFFFFFFFFFFFFFFFFFFFFFFFFFFFFFFFFFFFFF"&amp;"FFFFFFFFFFFFFFFFFFFFFFFFFFFFFFFFFFFFFFFFFFFFFFFFFFFFFFFFFFFFFFFFFFFFFFFFFFFFFFFFF000023002300FFFFFFFFFFFFFFFFFFFFFFFFFFFFFFFFFFFFFFFFFFFFFFFFFFFFFFFFFFFFFFFFFFFFFFFFFFFFFFFFFFFFFFFFFFFFFFFFFFFFFFFFFFFFFFFFFFFFFFFF000024002400FFFFFFFFFFFFFFFFFFFFFFFFFFFFFF"&amp;"FFFFFFFFFFFFFFFFFFFFFFFFFFFFFFFFFFFFFFFFFFFFFFFFFFFFFFFFFFFFFFFFFFFFFFFFFFFFFFFFFFFFFFFFFF000025002500FFFFFFFFFFFFFFFFFFFFFFFFFFFFFFFFFFFFFFFFFFFFFFFFFFFFFFFFFFFFFFFFFFFFFFFFFFFFFFFFFFFFFFFFFFFFFFFFFFFFFFFFFFFFFFFFFFFFFFFF000026002600FFFFFFFFFFFFFFFFFFFFF"&amp;"FFFFFFFFFFFFFFFFFFFFFFFFFFFFFFFFFFFFFFFFFFFFFFFFFFFFFFFFFFFFFFFFFFFFFFFFFFFFFFFFFFFFFFFFFFFFFFFFFFF00002700280029002A002B002C002D002E002F003000310032003300340035003600FFFFFFFFFFFFFFFFFFFFFFFFFFFFFFFFFFFFFFFFFFFFFFFFFFFFFFFFFFFFFFFF000037003800FFFFFFFFFFFF"&amp;"FFFFFFFFFFFF39003A00FFFFFFFFFFFFFFFFFFFFFFFFFFFFFFFFFFFFFFFFFFFFFFFFFFFFFFFFFFFFFFFFFFFFFFFFFFFFFFFFFFFFFFFF00003B003C00FFFFFFFFFFFFFFFFFFFFFFFFFFFFFFFFFFFFFFFFFFFFFFFFFFFFFFFFFFFFFFFFFFFFFFFFFFFFFFFFFFFFFFFFFFFFFFFFFFFFFFFFFFFFFFFFFFFFFFFF00003D003D00FFF"&amp;"FFFFFFFFFFFFFFFFFFFFF3E003E00FFFFFFFFFFFFFFFFFFFFFFFFFFFFFFFFFFFFFFFFFFFFFFFFFFFFFFFFFFFFFFFFFFFFFFFFFFFFFFFFFFFFFFFF00003F003F00FFFFFFFFFFFFFFFFFFFFFFFFFFFFFFFFFFFFFFFFFFFFFFFFFFFFFFFFFFFFFFFFFFFFFFFFFFFFFFFFFFFFFFFFFFFFFFFFFFFFFFFFFFFFFFFFFFFFFFFF000040"&amp;"004000FFFFFFFFFFFFFFFFFFFFFFFFFFFFFFFFFFFFFFFFFFFFFFFFFFFFFFFFFFFFFFFFFFFFFFFFFFFFFFFFFFFFFFFFFFFFFFFFFFFFFFFFFFFFFFFFFFFFFFFF000041004200FFFFFFFFFFFFFFFFFFFFFFFFFFFFFFFFFFFFFFFFFFFFFFFFFFFFFFFFFFFFFFFFFFFFFFFFFFFFFFFFFFFFFFFFFFFFFFFFFFFFFFFFFFFFFFFFFFFFF"&amp;"FFF000043004300FFFFFFFFFFFFFFFFFFFFFFFFFFFFFFFFFFFFFFFFFFFFFFFFFFFFFFFFFFFFFFFFFFFFFFFFFFFFFFFFFFFFFFFFFFFFFFFFFFFFFFFFFFFFFFFFFFFFFFFF000044004400FFFFFFFFFFFFFFFFFFFFFFFFFFFFFFFFFFFFFFFFFFFFFFFFFFFFFFFFFFFFFFFFFFFFFFFFFFFFFFFFFFFFFFFFFFFFFFFFFFFFFFFFFFFF"&amp;"FFFFFFFFFFFF000045004500FFFFFFFFFFFFFFFFFFFFFFFFFFFFFFFFFFFFFFFFFFFFFFFFFFFFFFFFFFFFFFFFFFFFFFFFFFFFFFFFFFFFFFFFFFFFFFFFFFFFFFFFFFFFFFFFFFFFFFFF000046004600FFFFFFFFFFFFFFFFFFFFFFFFFFFFFFFFFFFFFFFFFFFFFFFFFFFFFFFFFFFFFFFFFFFFFFFFFFFFFFFFFFFFFFFFFFFFFFFFFFF"&amp;"FFFFFFFFFFFFFFFFFFFFF000047004700FFFFFFFFFFFFFFFFFFFFFFFFFFFFFFFFFFFFFFFFFFFFFFFFFFFFFFFFFFFFFFFFFFFFFFFFFFFFFFFFFFFFFFFFFFFFFFFFFFFFFFFFFFFFFFFFFFFFFFFF000048004900FFFFFFFFFFFFFFFFFFFFFFFFFFFFFFFFFFFFFFFFFFFFFFFFFFFFFFFFFFFFFFFFFFFFFFFFFFFFFFFFFFFFFFFFFF"&amp;"FFFFFFFFFFFFFFFFFFFFFFFFFFFFFF00003D023D023D023D023D023D023D023D023E023E023E023E023E023E023E023E02FFFFFFFFFFFFFFFFFFFFFFFFFFFFFFFFFFFFFFFFFFFFFFFFFFFFFFFFFFFFFFFF00003F023F023F023F023F023F023F023F0240024002400240024002400240024002FFFFFFFFFFFFFFFFFFFFFFFFF"&amp;"FFFFFFFFFFFFFFFFFFFFFFFFFFFFFFFFFFFFFFF0000B102B202FFFFFFFFFFFFFFFFFFFFFFFFB302B402FFFFFFFFFFFFFFFFFFFFFFFFB502B502FFFFFFFFFFFFFFFFFFFFFFFFFFFFFFFFFFFFFFFFFFFFFFFFFFFFFFFF0000C402C502FFFFFFFFFFFFFFFFFFFFFFFFC602C602FFFFFFFFFFFFFFFFFFFFFFFFC702C702FFFFFFFF"&amp;"FFFFFFFFFFFFFFFFFFFFFFFFFFFFFFFFFFFFFFFFFFFFFFFF00002D032D03FFFFFFFFFFFFFFFFFFFFFFFF2E032F03FFFFFFFFFFFFFFFFFFFFFFFFFFFFFFFFFFFFFFFFFFFFFFFFFFFFFFFFFFFFFFFFFFFFFFFFFFFFFFFFFFFFFFFF00004B034B03FFFFFFFFFFFFFFFFFFFFFFFFFFFFFFFFFFFFFFFFFFFFFFFFFFFFFFFFFFFFFFF"&amp;"FFFFFFFFFFFFFFFFFFFFFFFFFFFFFFFFFFFFFFFFFFFFFFFFFFFFFFFFF00005F036003FFFFFFFFFFFFFFFFFFFFFFFF61036103FFFFFFFFFFFFFFFFFFFFFFFFFFFFFFFFFFFFFFFFFFFFFFFFFFFFFFFFFFFFFFFFFFFFFFFFFFFFFFFFFFFFFFFF000064036503FFFFFFFFFFFFFFFFFFFFFFFF61036103FFFFFFFFFFFFFFFFFFFFFF"&amp;"FFFFFFFFFFFFFFFFFFFFFFFFFFFFFFFFFFFFFFFFFFFFFFFFFFFFFFFFFFFFFFFFFF000041034203FFFFFFFFFFFFFFFFFFFFFFFF43034303FFFFFFFFFFFFFFFFFFFFFFFFFFFFFFFFFFFFFFFFFFFFFFFFFFFFFFFFFFFFFFFFFFFFFFFFFFFFFFFFFFFFFFFF0000")</f>
        <v>000000000000FFFFFFFFFFFFFFFFFFFFFFFF01000100FFFFFFFFFFFFFFFFFFFFFFFFFFFFFFFFFFFFFFFFFFFFFFFFFFFFFFFFFFFFFFFFFFFFFFFFFFFFFFFFFFFFFFFF00000200020003000300040004000500050006000600070007000800080009000900FFFFFFFFFFFFFFFFFFFFFFFFFFFFFFFFFFFFFFFFFFFFFFFFFFFFFFFFFFFFFFFF00000A000A00FFFFFFFFFFFFFFFFFFFFFFFFFFFFFFFFFFFFFFFFFFFFFFFFFFFFFFFFFFFFFFFFFFFFFFFFFFFFFFFFFFFFFFFFFFFFFFFFFFFFFFFFFFFFFFFFFFFFFFFF00000B000B00FFFFFFFFFFFFFFFFFFFFFFFFFFFFFFFFFFFFFFFFFFFFFFFFFFFFFFFFFFFFFFFFFFFFFFFFFFFFFFFFFFFFFFFFFFFFFFFFFFFFFFFFFFFFFFFFFFFFFFFF00000C000D00FFFFFFFFFFFFFFFFFFFFFFFFFFFFFFFFFFFFFFFFFFFFFFFFFFFFFFFFFFFFFFFFFFFFFFFFFFFFFFFFFFFFFFFFFFFFFFFFFFFFFFFFFFFFFFFFFFFFFFFF00000E000F00FFFFFFFFFFFFFFFFFFFFFFFF10001100FFFFFFFFFFFFFFFFFFFFFFFFFFFFFFFFFFFFFFFFFFFFFFFFFFFFFFFFFFFFFFFFFFFFFFFFFFFFFFFFFFFFFFFF00000E000F000E000F000E000F000E000F0010001100100011001000110010001100FFFFFFFFFFFFFFFFFFFFFFFFFFFFFFFFFFFFFFFFFFFFFFFFFFFFFFFFFFFFFFFF000012001300FFFFFFFFFFFFFFFFFFFFFFFF14001500FFFFFFFFFFFFFFFFFFFFFFFFFFFFFFFFFFFFFFFFFFFFFFFFFFFFFFFFFFFFFFFFFFFFFFFFFFFFFFFFFFFFFFFF000016001600FFFFFFFFFFFFFFFFFFFFFFFFFFFFFFFFFFFFFFFFFFFFFFFFFFFFFFFF17001700FFFFFFFFFFFFFFFFFFFFFFFFFFFFFFFFFFFFFFFFFFFFFFFFFFFFFFFF000018001800FFFFFFFFFFFFFFFFFFFFFFFFFFFFFFFFFFFFFFFFFFFFFFFFFFFFFFFF19001900FFFFFFFFFFFFFFFFFFFFFFFFFFFFFFFFFFFFFFFFFFFFFFFFFFFFFFFF00001A001A00FFFFFFFFFFFFFFFFFFFFFFFFFFFFFFFFFFFFFFFFFFFFFFFFFFFFFFFFFFFFFFFFFFFFFFFFFFFFFFFFFFFFFFFFFFFFFFFFFFFFFFFFFFFFFFFFFFFFFFFF00001B001B00FFFFFFFFFFFFFFFFFFFFFFFFFFFFFFFFFFFFFFFFFFFFFFFFFFFFFFFFFFFFFFFFFFFFFFFFFFFFFFFFFFFFFFFFFFFFFFFFFFFFFFFFFFFFFFFFFFFFFFFF00001C001C00FFFFFFFFFFFFFFFFFFFFFFFF1D001D00FFFFFFFFFFFFFFFFFFFFFFFFFFFFFFFFFFFFFFFFFFFFFFFFFFFFFFFFFFFFFFFFFFFFFFFFFFFFFFFFFFFFFFFF00001E001E00FFFFFFFFFFFFFFFFFFFFFFFFFFFFFFFFFFFFFFFFFFFFFFFFFFFFFFFFFFFFFFFFFFFFFFFFFFFFFFFFFFFFFFFFFFFFFFFFFFFFFFFFFFFFFFFFFFFFFFFF00001F001F00FFFFFFFFFFFFFFFFFFFFFFFFFFFFFFFFFFFFFFFFFFFFFFFFFFFFFFFFFFFFFFFFFFFFFFFFFFFFFFFFFFFFFFFFFFFFFFFFFFFFFFFFFFFFFFFFFFFFFFFF000020002000FFFFFFFFFFFFFFFFFFFFFFFFFFFFFFFFFFFFFFFFFFFFFFFFFFFFFFFFFFFFFFFFFFFFFFFFFFFFFFFFFFFFFFFFFFFFFFFFFFFFFFFFFFFFFFFFFFFFFFFF000021002100FFFFFFFFFFFFFFFFFFFFFFFFFFFFFFFFFFFFFFFFFFFFFFFFFFFFFFFFFFFFFFFFFFFFFFFFFFFFFFFFFFFFFFFFFFFFFFFFFFFFFFFFFFFFFFFFFFFFFFFF000022002200FFFFFFFFFFFFFFFFFFFFFFFFFFFFFFFFFFFFFFFFFFFFFFFFFFFFFFFFFFFFFFFFFFFFFFFFFFFFFFFFFFFFFFFFFFFFFFFFFFFFFFFFFFFFFFFFFFFFFFFF000023002300FFFFFFFFFFFFFFFFFFFFFFFFFFFFFFFFFFFFFFFFFFFFFFFFFFFFFFFFFFFFFFFFFFFFFFFFFFFFFFFFFFFFFFFFFFFFFFFFFFFFFFFFFFFFFFFFFFFFFFFF000024002400FFFFFFFFFFFFFFFFFFFFFFFFFFFFFFFFFFFFFFFFFFFFFFFFFFFFFFFFFFFFFFFFFFFFFFFFFFFFFFFFFFFFFFFFFFFFFFFFFFFFFFFFFFFFFFFFFFFFFFFF000025002500FFFFFFFFFFFFFFFFFFFFFFFFFFFFFFFFFFFFFFFFFFFFFFFFFFFFFFFFFFFFFFFFFFFFFFFFFFFFFFFFFFFFFFFFFFFFFFFFFFFFFFFFFFFFFFFFFFFFFFFF000026002600FFFFFFFFFFFFFFFFFFFFFFFFFFFFFFFFFFFFFFFFFFFFFFFFFFFFFFFFFFFFFFFFFFFFFFFFFFFFFFFFFFFFFFFFFFFFFFFFFFFFFFFFFFFFFFFFFFFFFFFF00002700280029002A002B002C002D002E002F003000310032003300340035003600FFFFFFFFFFFFFFFFFFFFFFFFFFFFFFFFFFFFFFFFFFFFFFFFFFFFFFFFFFFFFFFF000037003800FFFFFFFFFFFFFFFFFFFFFFFF39003A00FFFFFFFFFFFFFFFFFFFFFFFFFFFFFFFFFFFFFFFFFFFFFFFFFFFFFFFFFFFFFFFFFFFFFFFFFFFFFFFFFFFFFFFF00003B003C00FFFFFFFFFFFFFFFFFFFFFFFFFFFFFFFFFFFFFFFFFFFFFFFFFFFFFFFFFFFFFFFFFFFFFFFFFFFFFFFFFFFFFFFFFFFFFFFFFFFFFFFFFFFFFFFFFFFFFFFF00003D003D00FFFFFFFFFFFFFFFFFFFFFFFF3E003E00FFFFFFFFFFFFFFFFFFFFFFFFFFFFFFFFFFFFFFFFFFFFFFFFFFFFFFFFFFFFFFFFFFFFFFFFFFFFFFFFFFFFFFFF00003F003F00FFFFFFFFFFFFFFFFFFFFFFFFFFFFFFFFFFFFFFFFFFFFFFFFFFFFFFFFFFFFFFFFFFFFFFFFFFFFFFFFFFFFFFFFFFFFFFFFFFFFFFFFFFFFFFFFFFFFFFFF000040004000FFFFFFFFFFFFFFFFFFFFFFFFFFFFFFFFFFFFFFFFFFFFFFFFFFFFFFFFFFFFFFFFFFFFFFFFFFFFFFFFFFFFFFFFFFFFFFFFFFFFFFFFFFFFFFFFFFFFFFFF000041004200FFFFFFFFFFFFFFFFFFFFFFFFFFFFFFFFFFFFFFFFFFFFFFFFFFFFFFFFFFFFFFFFFFFFFFFFFFFFFFFFFFFFFFFFFFFFFFFFFFFFFFFFFFFFFFFFFFFFFFFF000043004300FFFFFFFFFFFFFFFFFFFFFFFFFFFFFFFFFFFFFFFFFFFFFFFFFFFFFFFFFFFFFFFFFFFFFFFFFFFFFFFFFFFFFFFFFFFFFFFFFFFFFFFFFFFFFFFFFFFFFFFF000044004400FFFFFFFFFFFFFFFFFFFFFFFFFFFFFFFFFFFFFFFFFFFFFFFFFFFFFFFFFFFFFFFFFFFFFFFFFFFFFFFFFFFFFFFFFFFFFFFFFFFFFFFFFFFFFFFFFFFFFFFF000045004500FFFFFFFFFFFFFFFFFFFFFFFFFFFFFFFFFFFFFFFFFFFFFFFFFFFFFFFFFFFFFFFFFFFFFFFFFFFFFFFFFFFFFFFFFFFFFFFFFFFFFFFFFFFFFFFFFFFFFFFF000046004600FFFFFFFFFFFFFFFFFFFFFFFFFFFFFFFFFFFFFFFFFFFFFFFFFFFFFFFFFFFFFFFFFFFFFFFFFFFFFFFFFFFFFFFFFFFFFFFFFFFFFFFFFFFFFFFFFFFFFFFF000047004700FFFFFFFFFFFFFFFFFFFFFFFFFFFFFFFFFFFFFFFFFFFFFFFFFFFFFFFFFFFFFFFFFFFFFFFFFFFFFFFFFFFFFFFFFFFFFFFFFFFFFFFFFFFFFFFFFFFFFFFF000048004900FFFFFFFFFFFFFFFFFFFFFFFFFFFFFFFFFFFFFFFFFFFFFFFFFFFFFFFFFFFFFFFFFFFFFFFFFFFFFFFFFFFFFFFFFFFFFFFFFFFFFFFFFFFFFFFFFFFFFFFF00003D023D023D023D023D023D023D023D023E023E023E023E023E023E023E023E02FFFFFFFFFFFFFFFFFFFFFFFFFFFFFFFFFFFFFFFFFFFFFFFFFFFFFFFFFFFFFFFF00003F023F023F023F023F023F023F023F0240024002400240024002400240024002FFFFFFFFFFFFFFFFFFFFFFFFFFFFFFFFFFFFFFFFFFFFFFFFFFFFFFFFFFFFFFFF0000B102B202FFFFFFFFFFFFFFFFFFFFFFFFB302B402FFFFFFFFFFFFFFFFFFFFFFFFB502B502FFFFFFFFFFFFFFFFFFFFFFFFFFFFFFFFFFFFFFFFFFFFFFFFFFFFFFFF0000C402C502FFFFFFFFFFFFFFFFFFFFFFFFC602C602FFFFFFFFFFFFFFFFFFFFFFFFC702C702FFFFFFFFFFFFFFFFFFFFFFFFFFFFFFFFFFFFFFFFFFFFFFFFFFFFFFFF00002D032D03FFFFFFFFFFFFFFFFFFFFFFFF2E032F03FFFFFFFFFFFFFFFFFFFFFFFFFFFFFFFFFFFFFFFFFFFFFFFFFFFFFFFFFFFFFFFFFFFFFFFFFFFFFFFFFFFFFFFF00004B034B03FFFFFFFFFFFFFFFFFFFFFFFFFFFFFFFFFFFFFFFFFFFFFFFFFFFFFFFFFFFFFFFFFFFFFFFFFFFFFFFFFFFFFFFFFFFFFFFFFFFFFFFFFFFFFFFFFFFFFFFF00005F036003FFFFFFFFFFFFFFFFFFFFFFFF61036103FFFFFFFFFFFFFFFFFFFFFFFFFFFFFFFFFFFFFFFFFFFFFFFFFFFFFFFFFFFFFFFFFFFFFFFFFFFFFFFFFFFFFFFF000064036503FFFFFFFFFFFFFFFFFFFFFFFF61036103FFFFFFFFFFFFFFFFFFFFFFFFFFFFFFFFFFFFFFFFFFFFFFFFFFFFFFFFFFFFFFFFFFFFFFFFFFFFFFFFFFFFFFFF000041034203FFFFFFFFFFFFFFFFFFFFFFFF43034303FFFFFFFFFFFFFFFFFFFFFFFFFFFFFFFFFFFFFFFFFFFFFFFFFFFFFFFFFFFFFFFFFFFFFFFFFFFFFFFFFFFFFFFF0000</v>
      </c>
      <c r="S4" s="3"/>
      <c r="T4" s="3"/>
      <c r="U4" s="3"/>
      <c r="V4" s="3"/>
      <c r="W4" s="3"/>
      <c r="X4" s="3"/>
      <c r="Y4" s="3"/>
      <c r="Z4" s="3"/>
      <c r="AA4" s="3"/>
      <c r="AB4" s="4"/>
    </row>
    <row r="5">
      <c r="B5" s="6"/>
      <c r="C5" s="7"/>
      <c r="M5" s="8"/>
      <c r="P5" s="7"/>
      <c r="Q5" s="8"/>
      <c r="R5" s="7"/>
      <c r="AB5" s="8"/>
    </row>
    <row r="6">
      <c r="B6" s="9"/>
      <c r="C6" s="7"/>
      <c r="M6" s="8"/>
      <c r="P6" s="10"/>
      <c r="Q6" s="11"/>
      <c r="R6" s="7"/>
      <c r="AB6" s="8"/>
    </row>
    <row r="7">
      <c r="C7" s="7"/>
      <c r="M7" s="8"/>
      <c r="R7" s="7"/>
      <c r="AB7" s="8"/>
    </row>
    <row r="8">
      <c r="C8" s="7"/>
      <c r="M8" s="8"/>
      <c r="R8" s="7"/>
      <c r="AB8" s="8"/>
    </row>
    <row r="9">
      <c r="C9" s="7"/>
      <c r="M9" s="8"/>
      <c r="R9" s="7"/>
      <c r="AB9" s="8"/>
    </row>
    <row r="10">
      <c r="C10" s="7"/>
      <c r="M10" s="8"/>
      <c r="R10" s="7"/>
      <c r="AB10" s="8"/>
    </row>
    <row r="11">
      <c r="C11" s="7"/>
      <c r="M11" s="8"/>
      <c r="R11" s="7"/>
      <c r="AB11" s="8"/>
    </row>
    <row r="12">
      <c r="C12" s="7"/>
      <c r="M12" s="8"/>
      <c r="R12" s="7"/>
      <c r="AB12" s="8"/>
    </row>
    <row r="13">
      <c r="C13" s="7"/>
      <c r="M13" s="8"/>
      <c r="R13" s="7"/>
      <c r="AB13" s="8"/>
    </row>
    <row r="14">
      <c r="C14" s="7"/>
      <c r="M14" s="8"/>
      <c r="R14" s="7"/>
      <c r="AB14" s="8"/>
    </row>
    <row r="15">
      <c r="C15" s="7"/>
      <c r="M15" s="8"/>
      <c r="R15" s="7"/>
      <c r="AB15" s="8"/>
    </row>
    <row r="16">
      <c r="C16" s="7"/>
      <c r="M16" s="8"/>
      <c r="R16" s="7"/>
      <c r="AB16" s="8"/>
    </row>
    <row r="17">
      <c r="C17" s="7"/>
      <c r="M17" s="8"/>
      <c r="R17" s="7"/>
      <c r="AB17" s="8"/>
    </row>
    <row r="18">
      <c r="C18" s="7"/>
      <c r="M18" s="8"/>
      <c r="R18" s="7"/>
      <c r="AB18" s="8"/>
    </row>
    <row r="19">
      <c r="C19" s="7"/>
      <c r="M19" s="8"/>
      <c r="R19" s="7"/>
      <c r="AB19" s="8"/>
    </row>
    <row r="20">
      <c r="C20" s="7"/>
      <c r="M20" s="8"/>
      <c r="R20" s="7"/>
      <c r="AB20" s="8"/>
    </row>
    <row r="21">
      <c r="C21" s="7"/>
      <c r="M21" s="8"/>
      <c r="R21" s="7"/>
      <c r="AB21" s="8"/>
    </row>
    <row r="22">
      <c r="C22" s="7"/>
      <c r="M22" s="8"/>
      <c r="R22" s="7"/>
      <c r="AB22" s="8"/>
    </row>
    <row r="23">
      <c r="C23" s="7"/>
      <c r="M23" s="8"/>
      <c r="R23" s="7"/>
      <c r="AB23" s="8"/>
    </row>
    <row r="24">
      <c r="C24" s="7"/>
      <c r="M24" s="8"/>
      <c r="R24" s="7"/>
      <c r="AB24" s="8"/>
    </row>
    <row r="25">
      <c r="C25" s="7"/>
      <c r="M25" s="8"/>
      <c r="R25" s="7"/>
      <c r="AB25" s="8"/>
    </row>
    <row r="26">
      <c r="C26" s="7"/>
      <c r="M26" s="8"/>
      <c r="R26" s="7"/>
      <c r="AB26" s="8"/>
    </row>
    <row r="27">
      <c r="C27" s="7"/>
      <c r="M27" s="8"/>
      <c r="R27" s="7"/>
      <c r="AB27" s="8"/>
    </row>
    <row r="28">
      <c r="C28" s="7"/>
      <c r="M28" s="8"/>
      <c r="R28" s="7"/>
      <c r="AB28" s="8"/>
    </row>
    <row r="29">
      <c r="C29" s="7"/>
      <c r="M29" s="8"/>
      <c r="R29" s="7"/>
      <c r="AB29" s="8"/>
    </row>
    <row r="30">
      <c r="C30" s="7"/>
      <c r="M30" s="8"/>
      <c r="R30" s="7"/>
      <c r="AB30" s="8"/>
    </row>
    <row r="31">
      <c r="C31" s="7"/>
      <c r="M31" s="8"/>
      <c r="R31" s="7"/>
      <c r="AB31" s="8"/>
    </row>
    <row r="32">
      <c r="C32" s="7"/>
      <c r="M32" s="8"/>
      <c r="R32" s="7"/>
      <c r="AB32" s="8"/>
    </row>
    <row r="33">
      <c r="C33" s="7"/>
      <c r="M33" s="8"/>
      <c r="R33" s="7"/>
      <c r="AB33" s="8"/>
    </row>
    <row r="34">
      <c r="C34" s="10"/>
      <c r="D34" s="12"/>
      <c r="E34" s="12"/>
      <c r="F34" s="12"/>
      <c r="G34" s="12"/>
      <c r="H34" s="12"/>
      <c r="I34" s="12"/>
      <c r="J34" s="12"/>
      <c r="K34" s="12"/>
      <c r="L34" s="12"/>
      <c r="M34" s="11"/>
      <c r="R34" s="10"/>
      <c r="S34" s="12"/>
      <c r="T34" s="12"/>
      <c r="U34" s="12"/>
      <c r="V34" s="12"/>
      <c r="W34" s="12"/>
      <c r="X34" s="12"/>
      <c r="Y34" s="12"/>
      <c r="Z34" s="12"/>
      <c r="AA34" s="12"/>
      <c r="AB34" s="11"/>
    </row>
    <row r="37">
      <c r="B37" s="13" t="s">
        <v>3</v>
      </c>
      <c r="C37" s="49" t="s">
        <v>4</v>
      </c>
      <c r="D37" s="49" t="s">
        <v>190</v>
      </c>
      <c r="E37" s="16" t="s">
        <v>191</v>
      </c>
      <c r="F37" s="3"/>
      <c r="G37" s="3"/>
      <c r="H37" s="3"/>
      <c r="I37" s="3"/>
      <c r="J37" s="3"/>
      <c r="K37" s="3"/>
      <c r="L37" s="3"/>
      <c r="M37" s="16" t="s">
        <v>192</v>
      </c>
      <c r="N37" s="3"/>
      <c r="O37" s="3"/>
      <c r="P37" s="3"/>
      <c r="Q37" s="3"/>
      <c r="R37" s="3"/>
      <c r="S37" s="3"/>
      <c r="T37" s="3"/>
      <c r="U37" s="16" t="s">
        <v>193</v>
      </c>
      <c r="V37" s="3"/>
      <c r="W37" s="3"/>
      <c r="X37" s="3"/>
      <c r="Y37" s="3"/>
      <c r="Z37" s="3"/>
      <c r="AA37" s="3"/>
      <c r="AB37" s="17"/>
      <c r="AC37" s="15" t="s">
        <v>194</v>
      </c>
      <c r="AD37" s="3"/>
      <c r="AE37" s="3"/>
      <c r="AF37" s="3"/>
      <c r="AG37" s="3"/>
      <c r="AH37" s="3"/>
      <c r="AI37" s="3"/>
      <c r="AJ37" s="4"/>
    </row>
    <row r="38">
      <c r="A38" s="18"/>
      <c r="B38" s="10"/>
      <c r="C38" s="50"/>
      <c r="D38" s="50"/>
      <c r="E38" s="21" t="s">
        <v>195</v>
      </c>
      <c r="F38" s="20" t="s">
        <v>196</v>
      </c>
      <c r="G38" s="20" t="s">
        <v>197</v>
      </c>
      <c r="H38" s="20" t="s">
        <v>198</v>
      </c>
      <c r="I38" s="20" t="s">
        <v>199</v>
      </c>
      <c r="J38" s="20" t="s">
        <v>200</v>
      </c>
      <c r="K38" s="20" t="s">
        <v>201</v>
      </c>
      <c r="L38" s="20" t="s">
        <v>202</v>
      </c>
      <c r="M38" s="21" t="s">
        <v>195</v>
      </c>
      <c r="N38" s="20" t="s">
        <v>196</v>
      </c>
      <c r="O38" s="20" t="s">
        <v>197</v>
      </c>
      <c r="P38" s="20" t="s">
        <v>198</v>
      </c>
      <c r="Q38" s="20" t="s">
        <v>199</v>
      </c>
      <c r="R38" s="20" t="s">
        <v>200</v>
      </c>
      <c r="S38" s="20" t="s">
        <v>201</v>
      </c>
      <c r="T38" s="20" t="s">
        <v>202</v>
      </c>
      <c r="U38" s="21" t="s">
        <v>195</v>
      </c>
      <c r="V38" s="20" t="s">
        <v>196</v>
      </c>
      <c r="W38" s="20" t="s">
        <v>197</v>
      </c>
      <c r="X38" s="20" t="s">
        <v>198</v>
      </c>
      <c r="Y38" s="20" t="s">
        <v>199</v>
      </c>
      <c r="Z38" s="20" t="s">
        <v>200</v>
      </c>
      <c r="AA38" s="20" t="s">
        <v>201</v>
      </c>
      <c r="AB38" s="22" t="s">
        <v>202</v>
      </c>
      <c r="AC38" s="20" t="s">
        <v>195</v>
      </c>
      <c r="AD38" s="20" t="s">
        <v>196</v>
      </c>
      <c r="AE38" s="20" t="s">
        <v>197</v>
      </c>
      <c r="AF38" s="20" t="s">
        <v>198</v>
      </c>
      <c r="AG38" s="20" t="s">
        <v>199</v>
      </c>
      <c r="AH38" s="20" t="s">
        <v>200</v>
      </c>
      <c r="AI38" s="20" t="s">
        <v>201</v>
      </c>
      <c r="AJ38" s="44" t="s">
        <v>202</v>
      </c>
      <c r="AK38" s="23"/>
    </row>
    <row r="39">
      <c r="B39" s="24">
        <v>0.0</v>
      </c>
      <c r="C39" s="25" t="s">
        <v>12</v>
      </c>
      <c r="D39" s="25">
        <v>0.0</v>
      </c>
      <c r="E39" s="26">
        <v>0.0</v>
      </c>
      <c r="F39" s="26">
        <v>0.0</v>
      </c>
      <c r="L39" s="29"/>
      <c r="M39" s="26">
        <v>1.0</v>
      </c>
      <c r="N39" s="26">
        <v>1.0</v>
      </c>
      <c r="T39" s="29"/>
      <c r="AB39" s="29"/>
      <c r="AJ39" s="45"/>
    </row>
    <row r="40">
      <c r="B40" s="24">
        <v>1.0</v>
      </c>
      <c r="C40" s="25" t="s">
        <v>203</v>
      </c>
      <c r="D40" s="25">
        <v>0.0</v>
      </c>
      <c r="E40" s="26">
        <v>2.0</v>
      </c>
      <c r="F40" s="26">
        <v>2.0</v>
      </c>
      <c r="G40" s="26">
        <v>3.0</v>
      </c>
      <c r="H40" s="26">
        <v>3.0</v>
      </c>
      <c r="I40" s="26">
        <v>4.0</v>
      </c>
      <c r="J40" s="26">
        <v>4.0</v>
      </c>
      <c r="K40" s="26">
        <v>5.0</v>
      </c>
      <c r="L40" s="25">
        <v>5.0</v>
      </c>
      <c r="M40" s="26">
        <v>6.0</v>
      </c>
      <c r="N40" s="26">
        <v>6.0</v>
      </c>
      <c r="O40" s="26">
        <v>7.0</v>
      </c>
      <c r="P40" s="26">
        <v>7.0</v>
      </c>
      <c r="Q40" s="26">
        <v>8.0</v>
      </c>
      <c r="R40" s="26">
        <v>8.0</v>
      </c>
      <c r="S40" s="26">
        <v>9.0</v>
      </c>
      <c r="T40" s="25">
        <v>9.0</v>
      </c>
      <c r="AB40" s="29"/>
      <c r="AJ40" s="45"/>
    </row>
    <row r="41">
      <c r="B41" s="24">
        <v>2.0</v>
      </c>
      <c r="C41" s="25" t="s">
        <v>129</v>
      </c>
      <c r="D41" s="25">
        <v>0.0</v>
      </c>
      <c r="E41" s="26">
        <v>10.0</v>
      </c>
      <c r="F41" s="26">
        <v>10.0</v>
      </c>
      <c r="L41" s="29"/>
      <c r="T41" s="29"/>
      <c r="AB41" s="29"/>
      <c r="AJ41" s="45"/>
    </row>
    <row r="42">
      <c r="B42" s="24">
        <v>3.0</v>
      </c>
      <c r="C42" s="25" t="s">
        <v>38</v>
      </c>
      <c r="D42" s="25">
        <v>0.0</v>
      </c>
      <c r="E42" s="26">
        <v>11.0</v>
      </c>
      <c r="F42" s="26">
        <v>11.0</v>
      </c>
      <c r="L42" s="29"/>
      <c r="T42" s="29"/>
      <c r="AB42" s="29"/>
      <c r="AJ42" s="45"/>
    </row>
    <row r="43">
      <c r="B43" s="24">
        <v>4.0</v>
      </c>
      <c r="C43" s="25" t="s">
        <v>21</v>
      </c>
      <c r="D43" s="25">
        <v>0.0</v>
      </c>
      <c r="E43" s="26">
        <v>12.0</v>
      </c>
      <c r="F43" s="26">
        <v>13.0</v>
      </c>
      <c r="L43" s="29"/>
      <c r="T43" s="29"/>
      <c r="AB43" s="29"/>
      <c r="AJ43" s="45"/>
    </row>
    <row r="44">
      <c r="B44" s="24">
        <v>5.0</v>
      </c>
      <c r="C44" s="25" t="s">
        <v>11</v>
      </c>
      <c r="D44" s="25">
        <v>0.0</v>
      </c>
      <c r="E44" s="26">
        <v>14.0</v>
      </c>
      <c r="F44" s="26">
        <v>15.0</v>
      </c>
      <c r="L44" s="29"/>
      <c r="M44" s="26">
        <v>16.0</v>
      </c>
      <c r="N44" s="26">
        <v>17.0</v>
      </c>
      <c r="T44" s="29"/>
      <c r="AB44" s="29"/>
      <c r="AJ44" s="45"/>
    </row>
    <row r="45">
      <c r="B45" s="24">
        <v>6.0</v>
      </c>
      <c r="C45" s="25" t="s">
        <v>31</v>
      </c>
      <c r="D45" s="25">
        <v>0.0</v>
      </c>
      <c r="E45" s="26">
        <v>14.0</v>
      </c>
      <c r="F45" s="26">
        <v>15.0</v>
      </c>
      <c r="G45" s="26">
        <v>14.0</v>
      </c>
      <c r="H45" s="26">
        <v>15.0</v>
      </c>
      <c r="I45" s="26">
        <v>14.0</v>
      </c>
      <c r="J45" s="26">
        <v>15.0</v>
      </c>
      <c r="K45" s="26">
        <v>14.0</v>
      </c>
      <c r="L45" s="25">
        <v>15.0</v>
      </c>
      <c r="M45" s="26">
        <v>16.0</v>
      </c>
      <c r="N45" s="26">
        <v>17.0</v>
      </c>
      <c r="O45" s="26">
        <v>16.0</v>
      </c>
      <c r="P45" s="26">
        <v>17.0</v>
      </c>
      <c r="Q45" s="26">
        <v>16.0</v>
      </c>
      <c r="R45" s="26">
        <v>17.0</v>
      </c>
      <c r="S45" s="26">
        <v>16.0</v>
      </c>
      <c r="T45" s="25">
        <v>17.0</v>
      </c>
      <c r="AB45" s="29"/>
      <c r="AJ45" s="45"/>
    </row>
    <row r="46">
      <c r="B46" s="24">
        <v>7.0</v>
      </c>
      <c r="C46" s="25" t="s">
        <v>36</v>
      </c>
      <c r="D46" s="25">
        <v>0.0</v>
      </c>
      <c r="E46" s="26">
        <v>18.0</v>
      </c>
      <c r="F46" s="26">
        <v>19.0</v>
      </c>
      <c r="L46" s="25"/>
      <c r="M46" s="26">
        <v>20.0</v>
      </c>
      <c r="N46" s="26">
        <v>21.0</v>
      </c>
      <c r="T46" s="25"/>
      <c r="AB46" s="29"/>
      <c r="AJ46" s="45"/>
    </row>
    <row r="47">
      <c r="B47" s="24">
        <v>8.0</v>
      </c>
      <c r="C47" s="25" t="s">
        <v>17</v>
      </c>
      <c r="D47" s="25">
        <v>0.0</v>
      </c>
      <c r="E47" s="26">
        <v>22.0</v>
      </c>
      <c r="F47" s="26">
        <v>22.0</v>
      </c>
      <c r="L47" s="29"/>
      <c r="T47" s="29"/>
      <c r="U47" s="26">
        <v>23.0</v>
      </c>
      <c r="V47" s="26">
        <v>23.0</v>
      </c>
      <c r="AB47" s="29"/>
      <c r="AJ47" s="45"/>
    </row>
    <row r="48">
      <c r="B48" s="24">
        <v>9.0</v>
      </c>
      <c r="C48" s="25" t="s">
        <v>204</v>
      </c>
      <c r="D48" s="25">
        <v>0.0</v>
      </c>
      <c r="E48" s="26">
        <v>24.0</v>
      </c>
      <c r="F48" s="26">
        <v>24.0</v>
      </c>
      <c r="L48" s="29"/>
      <c r="T48" s="29"/>
      <c r="U48" s="26">
        <v>25.0</v>
      </c>
      <c r="V48" s="26">
        <v>25.0</v>
      </c>
      <c r="AB48" s="29"/>
      <c r="AJ48" s="45"/>
    </row>
    <row r="49">
      <c r="B49" s="24">
        <v>10.0</v>
      </c>
      <c r="C49" s="25" t="s">
        <v>19</v>
      </c>
      <c r="D49" s="25">
        <v>0.0</v>
      </c>
      <c r="E49" s="26">
        <v>26.0</v>
      </c>
      <c r="F49" s="26">
        <v>26.0</v>
      </c>
      <c r="L49" s="29"/>
      <c r="T49" s="29"/>
      <c r="AB49" s="29"/>
      <c r="AJ49" s="45"/>
    </row>
    <row r="50">
      <c r="B50" s="24">
        <v>11.0</v>
      </c>
      <c r="C50" s="25" t="s">
        <v>205</v>
      </c>
      <c r="D50" s="25">
        <v>0.0</v>
      </c>
      <c r="E50" s="26">
        <v>27.0</v>
      </c>
      <c r="F50" s="26">
        <v>27.0</v>
      </c>
      <c r="L50" s="29"/>
      <c r="T50" s="29"/>
      <c r="AB50" s="29"/>
      <c r="AJ50" s="45"/>
    </row>
    <row r="51">
      <c r="B51" s="24">
        <v>12.0</v>
      </c>
      <c r="C51" s="25" t="s">
        <v>20</v>
      </c>
      <c r="D51" s="25">
        <v>0.0</v>
      </c>
      <c r="E51" s="26">
        <v>28.0</v>
      </c>
      <c r="F51" s="26">
        <v>28.0</v>
      </c>
      <c r="L51" s="29"/>
      <c r="M51" s="26">
        <v>29.0</v>
      </c>
      <c r="N51" s="26">
        <v>29.0</v>
      </c>
      <c r="T51" s="29"/>
      <c r="AB51" s="29"/>
      <c r="AJ51" s="45"/>
    </row>
    <row r="52">
      <c r="B52" s="24">
        <v>13.0</v>
      </c>
      <c r="C52" s="25" t="s">
        <v>24</v>
      </c>
      <c r="D52" s="25">
        <v>0.0</v>
      </c>
      <c r="E52" s="26">
        <v>30.0</v>
      </c>
      <c r="F52" s="26">
        <v>30.0</v>
      </c>
      <c r="L52" s="29"/>
      <c r="T52" s="29"/>
      <c r="AB52" s="29"/>
      <c r="AJ52" s="45"/>
    </row>
    <row r="53">
      <c r="B53" s="24">
        <v>14.0</v>
      </c>
      <c r="C53" s="25" t="s">
        <v>26</v>
      </c>
      <c r="D53" s="25">
        <v>0.0</v>
      </c>
      <c r="E53" s="26">
        <v>31.0</v>
      </c>
      <c r="F53" s="26">
        <v>31.0</v>
      </c>
      <c r="L53" s="29"/>
      <c r="T53" s="29"/>
      <c r="AB53" s="29"/>
      <c r="AJ53" s="45"/>
    </row>
    <row r="54">
      <c r="B54" s="24">
        <v>15.0</v>
      </c>
      <c r="C54" s="25" t="s">
        <v>138</v>
      </c>
      <c r="D54" s="25">
        <v>0.0</v>
      </c>
      <c r="E54" s="26">
        <v>32.0</v>
      </c>
      <c r="F54" s="26">
        <v>32.0</v>
      </c>
      <c r="L54" s="29"/>
      <c r="T54" s="29"/>
      <c r="AB54" s="29"/>
      <c r="AJ54" s="45"/>
    </row>
    <row r="55">
      <c r="B55" s="24">
        <v>16.0</v>
      </c>
      <c r="C55" s="25" t="s">
        <v>206</v>
      </c>
      <c r="D55" s="25">
        <v>0.0</v>
      </c>
      <c r="E55" s="26">
        <v>33.0</v>
      </c>
      <c r="F55" s="51">
        <v>33.0</v>
      </c>
      <c r="L55" s="29"/>
      <c r="T55" s="29"/>
      <c r="AB55" s="29"/>
      <c r="AJ55" s="45"/>
    </row>
    <row r="56">
      <c r="B56" s="24">
        <v>17.0</v>
      </c>
      <c r="C56" s="25" t="s">
        <v>140</v>
      </c>
      <c r="D56" s="25">
        <v>0.0</v>
      </c>
      <c r="E56" s="26">
        <v>34.0</v>
      </c>
      <c r="F56" s="26">
        <v>34.0</v>
      </c>
      <c r="L56" s="29"/>
      <c r="T56" s="29"/>
      <c r="AB56" s="29"/>
      <c r="AJ56" s="45"/>
    </row>
    <row r="57">
      <c r="B57" s="24">
        <v>18.0</v>
      </c>
      <c r="C57" s="25" t="s">
        <v>207</v>
      </c>
      <c r="D57" s="25">
        <v>0.0</v>
      </c>
      <c r="E57" s="26">
        <v>35.0</v>
      </c>
      <c r="F57" s="26">
        <v>35.0</v>
      </c>
      <c r="L57" s="29"/>
      <c r="T57" s="29"/>
      <c r="AB57" s="29"/>
      <c r="AJ57" s="45"/>
    </row>
    <row r="58">
      <c r="B58" s="24">
        <v>19.0</v>
      </c>
      <c r="C58" s="25" t="s">
        <v>43</v>
      </c>
      <c r="D58" s="25">
        <v>0.0</v>
      </c>
      <c r="E58" s="26">
        <v>36.0</v>
      </c>
      <c r="F58" s="26">
        <v>36.0</v>
      </c>
      <c r="L58" s="29"/>
      <c r="T58" s="29"/>
      <c r="AB58" s="29"/>
      <c r="AJ58" s="45"/>
    </row>
    <row r="59">
      <c r="B59" s="24">
        <v>20.0</v>
      </c>
      <c r="C59" s="25" t="s">
        <v>27</v>
      </c>
      <c r="D59" s="25">
        <v>0.0</v>
      </c>
      <c r="E59" s="26">
        <v>37.0</v>
      </c>
      <c r="F59" s="26">
        <v>37.0</v>
      </c>
      <c r="L59" s="29"/>
      <c r="T59" s="29"/>
      <c r="AB59" s="29"/>
      <c r="AJ59" s="45"/>
    </row>
    <row r="60">
      <c r="B60" s="24">
        <v>21.0</v>
      </c>
      <c r="C60" s="25" t="s">
        <v>44</v>
      </c>
      <c r="D60" s="25">
        <v>0.0</v>
      </c>
      <c r="E60" s="26">
        <v>38.0</v>
      </c>
      <c r="F60" s="26">
        <v>38.0</v>
      </c>
      <c r="L60" s="29"/>
      <c r="T60" s="29"/>
      <c r="AB60" s="29"/>
      <c r="AJ60" s="45"/>
    </row>
    <row r="61">
      <c r="B61" s="24">
        <v>22.0</v>
      </c>
      <c r="C61" s="25" t="s">
        <v>208</v>
      </c>
      <c r="D61" s="25">
        <v>0.0</v>
      </c>
      <c r="E61" s="26">
        <v>39.0</v>
      </c>
      <c r="F61" s="26">
        <v>40.0</v>
      </c>
      <c r="G61" s="26">
        <v>41.0</v>
      </c>
      <c r="H61" s="26">
        <v>42.0</v>
      </c>
      <c r="I61" s="26">
        <v>43.0</v>
      </c>
      <c r="J61" s="26">
        <v>44.0</v>
      </c>
      <c r="K61" s="26">
        <v>45.0</v>
      </c>
      <c r="L61" s="25">
        <v>46.0</v>
      </c>
      <c r="M61" s="26">
        <v>47.0</v>
      </c>
      <c r="N61" s="26">
        <v>48.0</v>
      </c>
      <c r="O61" s="26">
        <v>49.0</v>
      </c>
      <c r="P61" s="26">
        <v>50.0</v>
      </c>
      <c r="Q61" s="26">
        <v>51.0</v>
      </c>
      <c r="R61" s="26">
        <v>52.0</v>
      </c>
      <c r="S61" s="26">
        <v>53.0</v>
      </c>
      <c r="T61" s="25">
        <v>54.0</v>
      </c>
      <c r="AB61" s="29"/>
      <c r="AJ61" s="45"/>
    </row>
    <row r="62">
      <c r="B62" s="24">
        <v>23.0</v>
      </c>
      <c r="C62" s="25" t="s">
        <v>209</v>
      </c>
      <c r="D62" s="25">
        <v>0.0</v>
      </c>
      <c r="E62" s="26">
        <v>55.0</v>
      </c>
      <c r="F62" s="26">
        <v>56.0</v>
      </c>
      <c r="L62" s="29"/>
      <c r="M62" s="26">
        <v>57.0</v>
      </c>
      <c r="N62" s="26">
        <v>58.0</v>
      </c>
      <c r="T62" s="29"/>
      <c r="AB62" s="29"/>
      <c r="AJ62" s="45"/>
    </row>
    <row r="63">
      <c r="B63" s="24">
        <v>24.0</v>
      </c>
      <c r="C63" s="25" t="s">
        <v>210</v>
      </c>
      <c r="D63" s="25">
        <v>0.0</v>
      </c>
      <c r="E63" s="26">
        <v>59.0</v>
      </c>
      <c r="F63" s="26">
        <v>60.0</v>
      </c>
      <c r="L63" s="29"/>
      <c r="T63" s="29"/>
      <c r="AB63" s="29"/>
      <c r="AJ63" s="45"/>
    </row>
    <row r="64">
      <c r="B64" s="24">
        <v>25.0</v>
      </c>
      <c r="C64" s="25" t="s">
        <v>28</v>
      </c>
      <c r="D64" s="25">
        <v>0.0</v>
      </c>
      <c r="E64" s="26">
        <v>61.0</v>
      </c>
      <c r="F64" s="26">
        <v>61.0</v>
      </c>
      <c r="L64" s="29"/>
      <c r="M64" s="26">
        <v>62.0</v>
      </c>
      <c r="N64" s="26">
        <v>62.0</v>
      </c>
      <c r="T64" s="29"/>
      <c r="AB64" s="29"/>
      <c r="AJ64" s="45"/>
    </row>
    <row r="65">
      <c r="B65" s="24">
        <v>26.0</v>
      </c>
      <c r="C65" s="25" t="s">
        <v>129</v>
      </c>
      <c r="D65" s="25">
        <v>0.0</v>
      </c>
      <c r="E65" s="26">
        <v>63.0</v>
      </c>
      <c r="F65" s="26">
        <v>63.0</v>
      </c>
      <c r="L65" s="29"/>
      <c r="T65" s="29"/>
      <c r="AB65" s="29"/>
      <c r="AJ65" s="45"/>
    </row>
    <row r="66">
      <c r="B66" s="24">
        <v>27.0</v>
      </c>
      <c r="C66" s="25" t="s">
        <v>129</v>
      </c>
      <c r="D66" s="25">
        <v>0.0</v>
      </c>
      <c r="E66" s="26">
        <v>64.0</v>
      </c>
      <c r="F66" s="26">
        <v>64.0</v>
      </c>
      <c r="L66" s="29"/>
      <c r="T66" s="29"/>
      <c r="AB66" s="29"/>
      <c r="AJ66" s="45"/>
    </row>
    <row r="67">
      <c r="B67" s="24">
        <v>28.0</v>
      </c>
      <c r="C67" s="25" t="s">
        <v>48</v>
      </c>
      <c r="D67" s="25">
        <v>0.0</v>
      </c>
      <c r="E67" s="26">
        <v>65.0</v>
      </c>
      <c r="F67" s="26">
        <v>66.0</v>
      </c>
      <c r="L67" s="29"/>
      <c r="T67" s="29"/>
      <c r="AB67" s="29"/>
      <c r="AJ67" s="45"/>
    </row>
    <row r="68">
      <c r="B68" s="24">
        <v>29.0</v>
      </c>
      <c r="C68" s="25" t="s">
        <v>211</v>
      </c>
      <c r="D68" s="25">
        <v>0.0</v>
      </c>
      <c r="E68" s="26">
        <v>67.0</v>
      </c>
      <c r="F68" s="26">
        <v>67.0</v>
      </c>
      <c r="L68" s="29"/>
      <c r="T68" s="29"/>
      <c r="AB68" s="29"/>
      <c r="AJ68" s="45"/>
    </row>
    <row r="69">
      <c r="B69" s="24">
        <v>30.0</v>
      </c>
      <c r="C69" s="25" t="s">
        <v>212</v>
      </c>
      <c r="D69" s="25">
        <v>0.0</v>
      </c>
      <c r="E69" s="26">
        <v>68.0</v>
      </c>
      <c r="F69" s="26">
        <v>68.0</v>
      </c>
      <c r="L69" s="29"/>
      <c r="T69" s="29"/>
      <c r="AB69" s="29"/>
      <c r="AJ69" s="45"/>
    </row>
    <row r="70">
      <c r="B70" s="24">
        <v>31.0</v>
      </c>
      <c r="C70" s="25" t="s">
        <v>213</v>
      </c>
      <c r="D70" s="25">
        <v>0.0</v>
      </c>
      <c r="E70" s="26">
        <v>69.0</v>
      </c>
      <c r="F70" s="26">
        <v>69.0</v>
      </c>
      <c r="L70" s="29"/>
      <c r="T70" s="29"/>
      <c r="AB70" s="29"/>
      <c r="AJ70" s="45"/>
    </row>
    <row r="71">
      <c r="B71" s="24">
        <v>32.0</v>
      </c>
      <c r="C71" s="25" t="s">
        <v>214</v>
      </c>
      <c r="D71" s="25">
        <v>0.0</v>
      </c>
      <c r="E71" s="26">
        <v>70.0</v>
      </c>
      <c r="F71" s="26">
        <v>70.0</v>
      </c>
      <c r="L71" s="29"/>
      <c r="T71" s="29"/>
      <c r="AB71" s="29"/>
      <c r="AJ71" s="45"/>
    </row>
    <row r="72">
      <c r="B72" s="24">
        <v>33.0</v>
      </c>
      <c r="C72" s="25" t="s">
        <v>215</v>
      </c>
      <c r="D72" s="25">
        <v>0.0</v>
      </c>
      <c r="E72" s="26">
        <v>71.0</v>
      </c>
      <c r="F72" s="26">
        <v>71.0</v>
      </c>
      <c r="L72" s="29"/>
      <c r="T72" s="29"/>
      <c r="AB72" s="29"/>
      <c r="AJ72" s="45"/>
    </row>
    <row r="73">
      <c r="B73" s="38">
        <v>34.0</v>
      </c>
      <c r="C73" s="39" t="s">
        <v>150</v>
      </c>
      <c r="D73" s="39">
        <v>0.0</v>
      </c>
      <c r="E73" s="40">
        <v>72.0</v>
      </c>
      <c r="F73" s="40">
        <v>73.0</v>
      </c>
      <c r="G73" s="46"/>
      <c r="H73" s="46"/>
      <c r="I73" s="46"/>
      <c r="J73" s="46"/>
      <c r="K73" s="46"/>
      <c r="L73" s="47"/>
      <c r="M73" s="46"/>
      <c r="N73" s="46"/>
      <c r="O73" s="46"/>
      <c r="P73" s="46"/>
      <c r="Q73" s="46"/>
      <c r="R73" s="46"/>
      <c r="S73" s="46"/>
      <c r="T73" s="47"/>
      <c r="U73" s="46"/>
      <c r="V73" s="46"/>
      <c r="W73" s="46"/>
      <c r="X73" s="46"/>
      <c r="Y73" s="46"/>
      <c r="Z73" s="46"/>
      <c r="AA73" s="46"/>
      <c r="AB73" s="47"/>
      <c r="AC73" s="46"/>
      <c r="AD73" s="46"/>
      <c r="AE73" s="46"/>
      <c r="AF73" s="46"/>
      <c r="AG73" s="46"/>
      <c r="AH73" s="46"/>
      <c r="AI73" s="46"/>
      <c r="AJ73" s="48"/>
    </row>
    <row r="74">
      <c r="B74" s="24">
        <v>35.0</v>
      </c>
      <c r="C74" s="25" t="s">
        <v>216</v>
      </c>
      <c r="D74" s="25">
        <v>0.0</v>
      </c>
      <c r="E74" s="26">
        <v>573.0</v>
      </c>
      <c r="F74" s="26">
        <v>573.0</v>
      </c>
      <c r="G74" s="26">
        <v>573.0</v>
      </c>
      <c r="H74" s="26">
        <v>573.0</v>
      </c>
      <c r="I74" s="26">
        <v>573.0</v>
      </c>
      <c r="J74" s="26">
        <v>573.0</v>
      </c>
      <c r="K74" s="26">
        <v>573.0</v>
      </c>
      <c r="L74" s="25">
        <v>573.0</v>
      </c>
      <c r="M74" s="26">
        <v>574.0</v>
      </c>
      <c r="N74" s="26">
        <v>574.0</v>
      </c>
      <c r="O74" s="26">
        <v>574.0</v>
      </c>
      <c r="P74" s="26">
        <v>574.0</v>
      </c>
      <c r="Q74" s="26">
        <v>574.0</v>
      </c>
      <c r="R74" s="26">
        <v>574.0</v>
      </c>
      <c r="S74" s="26">
        <v>574.0</v>
      </c>
      <c r="T74" s="25">
        <v>574.0</v>
      </c>
      <c r="AB74" s="29"/>
      <c r="AJ74" s="45"/>
    </row>
    <row r="75">
      <c r="B75" s="24">
        <v>36.0</v>
      </c>
      <c r="C75" s="25" t="s">
        <v>217</v>
      </c>
      <c r="D75" s="25">
        <v>0.0</v>
      </c>
      <c r="E75" s="26">
        <v>575.0</v>
      </c>
      <c r="F75" s="26">
        <v>575.0</v>
      </c>
      <c r="G75" s="26">
        <v>575.0</v>
      </c>
      <c r="H75" s="26">
        <v>575.0</v>
      </c>
      <c r="I75" s="26">
        <v>575.0</v>
      </c>
      <c r="J75" s="26">
        <v>575.0</v>
      </c>
      <c r="K75" s="26">
        <v>575.0</v>
      </c>
      <c r="L75" s="25">
        <v>575.0</v>
      </c>
      <c r="M75" s="26">
        <v>576.0</v>
      </c>
      <c r="N75" s="26">
        <v>576.0</v>
      </c>
      <c r="O75" s="26">
        <v>576.0</v>
      </c>
      <c r="P75" s="26">
        <v>576.0</v>
      </c>
      <c r="Q75" s="26">
        <v>576.0</v>
      </c>
      <c r="R75" s="26">
        <v>576.0</v>
      </c>
      <c r="S75" s="26">
        <v>576.0</v>
      </c>
      <c r="T75" s="25">
        <v>576.0</v>
      </c>
      <c r="AB75" s="29"/>
      <c r="AJ75" s="45"/>
    </row>
    <row r="76">
      <c r="B76" s="24">
        <v>37.0</v>
      </c>
      <c r="C76" s="25" t="s">
        <v>218</v>
      </c>
      <c r="D76" s="25">
        <v>0.0</v>
      </c>
      <c r="E76" s="26">
        <v>689.0</v>
      </c>
      <c r="F76" s="26">
        <v>690.0</v>
      </c>
      <c r="L76" s="29"/>
      <c r="M76" s="26">
        <v>691.0</v>
      </c>
      <c r="N76" s="26">
        <v>692.0</v>
      </c>
      <c r="T76" s="29"/>
      <c r="U76" s="26">
        <v>693.0</v>
      </c>
      <c r="V76" s="26">
        <v>693.0</v>
      </c>
      <c r="AB76" s="29"/>
      <c r="AJ76" s="45"/>
    </row>
    <row r="77">
      <c r="B77" s="24">
        <v>38.0</v>
      </c>
      <c r="C77" s="25" t="s">
        <v>69</v>
      </c>
      <c r="D77" s="25">
        <v>0.0</v>
      </c>
      <c r="E77" s="26">
        <v>708.0</v>
      </c>
      <c r="F77" s="26">
        <v>709.0</v>
      </c>
      <c r="L77" s="29"/>
      <c r="M77" s="26">
        <v>710.0</v>
      </c>
      <c r="N77" s="26">
        <v>710.0</v>
      </c>
      <c r="T77" s="29"/>
      <c r="U77" s="26">
        <v>711.0</v>
      </c>
      <c r="V77" s="26">
        <v>711.0</v>
      </c>
      <c r="AB77" s="29"/>
      <c r="AJ77" s="45"/>
    </row>
    <row r="78">
      <c r="B78" s="24">
        <v>39.0</v>
      </c>
      <c r="C78" s="25" t="s">
        <v>96</v>
      </c>
      <c r="D78" s="25">
        <v>0.0</v>
      </c>
      <c r="E78" s="26">
        <v>813.0</v>
      </c>
      <c r="F78" s="26">
        <v>813.0</v>
      </c>
      <c r="L78" s="29"/>
      <c r="M78" s="26">
        <v>814.0</v>
      </c>
      <c r="N78" s="26">
        <v>815.0</v>
      </c>
      <c r="T78" s="29"/>
      <c r="AB78" s="29"/>
      <c r="AJ78" s="45"/>
    </row>
    <row r="79">
      <c r="B79" s="24">
        <v>40.0</v>
      </c>
      <c r="C79" s="25" t="s">
        <v>103</v>
      </c>
      <c r="D79" s="25">
        <v>0.0</v>
      </c>
      <c r="E79" s="26">
        <v>843.0</v>
      </c>
      <c r="F79" s="26">
        <v>843.0</v>
      </c>
      <c r="L79" s="29"/>
      <c r="T79" s="29"/>
      <c r="AB79" s="29"/>
      <c r="AJ79" s="45"/>
    </row>
    <row r="80">
      <c r="B80" s="24">
        <v>41.0</v>
      </c>
      <c r="C80" s="25" t="s">
        <v>110</v>
      </c>
      <c r="D80" s="25">
        <v>0.0</v>
      </c>
      <c r="E80" s="26">
        <v>863.0</v>
      </c>
      <c r="F80" s="26">
        <v>864.0</v>
      </c>
      <c r="L80" s="25"/>
      <c r="M80" s="26">
        <v>865.0</v>
      </c>
      <c r="N80" s="26">
        <v>865.0</v>
      </c>
      <c r="T80" s="25"/>
      <c r="AB80" s="29"/>
      <c r="AJ80" s="45"/>
    </row>
    <row r="81">
      <c r="B81" s="24">
        <v>42.0</v>
      </c>
      <c r="C81" s="25" t="s">
        <v>219</v>
      </c>
      <c r="D81" s="25">
        <v>0.0</v>
      </c>
      <c r="E81" s="26">
        <v>868.0</v>
      </c>
      <c r="F81" s="26">
        <v>869.0</v>
      </c>
      <c r="L81" s="25"/>
      <c r="M81" s="26">
        <v>865.0</v>
      </c>
      <c r="N81" s="26">
        <v>865.0</v>
      </c>
      <c r="T81" s="25"/>
      <c r="AB81" s="29"/>
      <c r="AJ81" s="45"/>
    </row>
    <row r="82">
      <c r="B82" s="24">
        <v>43.0</v>
      </c>
      <c r="C82" s="25" t="s">
        <v>49</v>
      </c>
      <c r="D82" s="25">
        <v>0.0</v>
      </c>
      <c r="E82" s="26">
        <v>833.0</v>
      </c>
      <c r="F82" s="26">
        <v>834.0</v>
      </c>
      <c r="L82" s="29"/>
      <c r="M82" s="26">
        <v>835.0</v>
      </c>
      <c r="N82" s="26">
        <v>835.0</v>
      </c>
      <c r="T82" s="29"/>
      <c r="AB82" s="29"/>
      <c r="AJ82" s="45"/>
    </row>
    <row r="83">
      <c r="B83" s="24">
        <v>44.0</v>
      </c>
      <c r="C83" s="25" t="s">
        <v>127</v>
      </c>
      <c r="D83" s="25">
        <v>0.0</v>
      </c>
      <c r="E83" s="26">
        <v>591.0</v>
      </c>
      <c r="F83" s="26">
        <v>591.0</v>
      </c>
      <c r="L83" s="29"/>
      <c r="M83" s="26">
        <v>592.0</v>
      </c>
      <c r="N83" s="26">
        <v>592.0</v>
      </c>
      <c r="T83" s="29"/>
      <c r="AB83" s="29"/>
      <c r="AJ83" s="45"/>
    </row>
    <row r="84">
      <c r="B84" s="38">
        <v>45.0</v>
      </c>
      <c r="C84" s="39" t="s">
        <v>127</v>
      </c>
      <c r="D84" s="39">
        <v>0.0</v>
      </c>
      <c r="E84" s="40">
        <v>593.0</v>
      </c>
      <c r="F84" s="40">
        <v>593.0</v>
      </c>
      <c r="G84" s="46"/>
      <c r="H84" s="46"/>
      <c r="I84" s="46"/>
      <c r="J84" s="46"/>
      <c r="K84" s="46"/>
      <c r="L84" s="47"/>
      <c r="M84" s="40">
        <v>594.0</v>
      </c>
      <c r="N84" s="40">
        <v>594.0</v>
      </c>
      <c r="O84" s="46"/>
      <c r="P84" s="46"/>
      <c r="Q84" s="46"/>
      <c r="R84" s="46"/>
      <c r="S84" s="46"/>
      <c r="T84" s="47"/>
      <c r="U84" s="46"/>
      <c r="V84" s="46"/>
      <c r="W84" s="46"/>
      <c r="X84" s="46"/>
      <c r="Y84" s="46"/>
      <c r="Z84" s="46"/>
      <c r="AA84" s="46"/>
      <c r="AB84" s="47"/>
      <c r="AC84" s="46"/>
      <c r="AD84" s="46"/>
      <c r="AE84" s="46"/>
      <c r="AF84" s="46"/>
      <c r="AG84" s="46"/>
      <c r="AH84" s="46"/>
      <c r="AI84" s="46"/>
      <c r="AJ84" s="48"/>
    </row>
  </sheetData>
  <mergeCells count="11">
    <mergeCell ref="E37:L37"/>
    <mergeCell ref="M37:T37"/>
    <mergeCell ref="AC37:AJ37"/>
    <mergeCell ref="B4:B6"/>
    <mergeCell ref="C4:M34"/>
    <mergeCell ref="P4:Q6"/>
    <mergeCell ref="R4:AB34"/>
    <mergeCell ref="B37:B38"/>
    <mergeCell ref="C37:C38"/>
    <mergeCell ref="D37:D38"/>
    <mergeCell ref="U37:AB37"/>
  </mergeCells>
  <drawing r:id="rId1"/>
</worksheet>
</file>